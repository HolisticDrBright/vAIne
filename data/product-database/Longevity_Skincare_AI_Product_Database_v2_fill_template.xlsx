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Fill Progress" sheetId="2" state="visible" r:id="rId2"/>
    <sheet xmlns:r="http://schemas.openxmlformats.org/officeDocument/2006/relationships" name="Verified_Product_DB" sheetId="3" state="visible" r:id="rId3"/>
    <sheet xmlns:r="http://schemas.openxmlformats.org/officeDocument/2006/relationships" name="AI_Logic_Map" sheetId="4" state="visible" r:id="rId4"/>
    <sheet xmlns:r="http://schemas.openxmlformats.org/officeDocument/2006/relationships" name="Brand_Coverage" sheetId="5" state="visible" r:id="rId5"/>
    <sheet xmlns:r="http://schemas.openxmlformats.org/officeDocument/2006/relationships" name="Recommendation_Categories" sheetId="6" state="visible" r:id="rId6"/>
    <sheet xmlns:r="http://schemas.openxmlformats.org/officeDocument/2006/relationships" name="Sources" sheetId="7" state="visible" r:id="rId7"/>
  </sheets>
  <definedNames>
    <definedName name="_xlnm._FilterDatabase" localSheetId="2" hidden="1">'Verified_Product_DB'!$A$1:$P$82</definedName>
    <definedName name="_xlnm._FilterDatabase" localSheetId="3" hidden="1">'AI_Logic_Map'!$A$1:$F$11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</font>
    <font>
      <color rgb="00008000"/>
      <u val="single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  <font>
      <name val="Arial"/>
      <sz val="9"/>
    </font>
    <font>
      <name val="Arial"/>
      <b val="1"/>
      <color rgb="00C00000"/>
      <sz val="9"/>
    </font>
    <font>
      <name val="Arial"/>
      <b val="1"/>
      <color rgb="00375623"/>
      <sz val="9"/>
    </font>
    <font>
      <name val="Arial"/>
      <b val="1"/>
      <color rgb="001F3864"/>
      <sz val="16"/>
    </font>
    <font>
      <name val="Arial"/>
      <i val="1"/>
      <sz val="9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1F3864"/>
      <sz val="14"/>
    </font>
    <font>
      <name val="Arial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FFF2CC"/>
      </patternFill>
    </fill>
    <fill>
      <patternFill patternType="solid">
        <fgColor rgb="007030A0"/>
      </patternFill>
    </fill>
    <fill>
      <patternFill patternType="solid">
        <fgColor rgb="0000A6A6"/>
      </patternFill>
    </fill>
    <fill>
      <patternFill patternType="solid">
        <fgColor rgb="00C65911"/>
      </patternFill>
    </fill>
    <fill>
      <patternFill patternType="solid">
        <fgColor rgb="00548235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/>
    </xf>
    <xf numFmtId="0" fontId="5" fillId="3" borderId="2" applyAlignment="1" pivotButton="0" quotePrefix="0" xfId="0">
      <alignment vertical="top"/>
    </xf>
    <xf numFmtId="0" fontId="5" fillId="3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3" fillId="0" borderId="0" pivotButton="0" quotePrefix="0" xfId="0"/>
    <xf numFmtId="0" fontId="10" fillId="0" borderId="0" pivotButton="0" quotePrefix="0" xfId="0"/>
    <xf numFmtId="0" fontId="3" fillId="10" borderId="2" pivotButton="0" quotePrefix="0" xfId="0"/>
    <xf numFmtId="0" fontId="12" fillId="0" borderId="2" pivotButton="0" quotePrefix="0" xfId="0"/>
    <xf numFmtId="0" fontId="4" fillId="0" borderId="2" pivotButton="0" quotePrefix="0" xfId="0"/>
    <xf numFmtId="9" fontId="0" fillId="0" borderId="2" pivotButton="0" quotePrefix="0" xfId="0"/>
    <xf numFmtId="0" fontId="4" fillId="0" borderId="2" applyAlignment="1" pivotButton="0" quotePrefix="0" xfId="0">
      <alignment vertical="top" wrapText="1"/>
    </xf>
    <xf numFmtId="0" fontId="1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OpenAI</author>
  </authors>
  <commentList>
    <comment ref="F1" authorId="0" shapeId="0">
      <text>
        <t>This column intentionally avoids hallucinated INCI details unless the official collection text lists the actives/positioning.</t>
      </text>
    </comment>
    <comment ref="N1" authorId="0" shapeId="0">
      <text>
        <t>Use this before making app recommendations. 'Official collection page' means product name/positioning was pulled from the official brand collection page; full ingredient panel still needs exact product-page verification before production use.</t>
      </text>
    </comment>
  </commentList>
</comments>
</file>

<file path=xl/tables/table1.xml><?xml version="1.0" encoding="utf-8"?>
<table xmlns="http://schemas.openxmlformats.org/spreadsheetml/2006/main" id="1" name="VerifiedProductDB" displayName="VerifiedProductDB" ref="A1:P82" headerRowCount="1">
  <autoFilter ref="A1:P82"/>
  <tableColumns count="16">
    <tableColumn id="1" name="Priority"/>
    <tableColumn id="2" name="Brand"/>
    <tableColumn id="3" name="Product"/>
    <tableColumn id="4" name="Product Type"/>
    <tableColumn id="5" name="Category"/>
    <tableColumn id="6" name="Known/Listed Actives or Positioning"/>
    <tableColumn id="7" name="Best Skin Findings From AI Analysis"/>
    <tableColumn id="8" name="Best Skin Types"/>
    <tableColumn id="9" name="When to Use"/>
    <tableColumn id="10" name="Avoid / Caution Logic"/>
    <tableColumn id="11" name="Recommendation Logic"/>
    <tableColumn id="12" name="Routine Slot"/>
    <tableColumn id="13" name="Affiliate Potential"/>
    <tableColumn id="14" name="Verification Level"/>
    <tableColumn id="15" name="Source URL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ILogicMap" displayName="AILogicMap" ref="A1:F11" headerRowCount="1">
  <autoFilter ref="A1:F11"/>
  <tableColumns count="6">
    <tableColumn id="1" name="AI Skin Finding"/>
    <tableColumn id="2" name="Threshold / Trigger"/>
    <tableColumn id="3" name="Primary Category"/>
    <tableColumn id="4" name="Preferred Products From Core Lines"/>
    <tableColumn id="5" name="Avoid / Caution"/>
    <tableColumn id="6" name="Example Recommendation Copy"/>
  </tableColumns>
  <tableStyleInfo name="TableStyleMedium5" showRowStripes="1"/>
</table>
</file>

<file path=xl/tables/table3.xml><?xml version="1.0" encoding="utf-8"?>
<table xmlns="http://schemas.openxmlformats.org/spreadsheetml/2006/main" id="3" name="BrandCoverage" displayName="BrandCoverage" ref="A1:E5" headerRowCount="1">
  <autoFilter ref="A1:E5"/>
  <tableColumns count="5">
    <tableColumn id="1" name="Brand"/>
    <tableColumn id="2" name="Status in v2"/>
    <tableColumn id="3" name="Products Included"/>
    <tableColumn id="4" name="Source Evidence"/>
    <tableColumn id="5" name="Expansion Needed"/>
  </tableColumns>
  <tableStyleInfo name="TableStyleMedium4" showRowStripes="1"/>
</table>
</file>

<file path=xl/tables/table4.xml><?xml version="1.0" encoding="utf-8"?>
<table xmlns="http://schemas.openxmlformats.org/spreadsheetml/2006/main" id="4" name="RecommendationCategories" displayName="RecommendationCategories" ref="A1:D9" headerRowCount="1">
  <autoFilter ref="A1:D9"/>
  <tableColumns count="4">
    <tableColumn id="1" name="Category"/>
    <tableColumn id="2" name="Best Use"/>
    <tableColumn id="3" name="Core Products"/>
    <tableColumn id="4" name="When Not to Use"/>
  </tableColumns>
  <tableStyleInfo name="TableStyleMedium3" showRowStripes="1"/>
</table>
</file>

<file path=xl/tables/table5.xml><?xml version="1.0" encoding="utf-8"?>
<table xmlns="http://schemas.openxmlformats.org/spreadsheetml/2006/main" id="5" name="SourceTable" displayName="SourceTable" ref="A1:C15" headerRowCount="1">
  <autoFilter ref="A1:C15"/>
  <tableColumns count="3">
    <tableColumn id="1" name="Brand"/>
    <tableColumn id="2" name="Source URL"/>
    <tableColumn id="3" name="What It Supports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" customWidth="1" min="1" max="1"/>
    <col width="98" customWidth="1" min="2" max="2"/>
  </cols>
  <sheetData>
    <row r="1">
      <c r="A1" s="18" t="inlineStr">
        <is>
          <t>Four columns the app needs — how to fill them</t>
        </is>
      </c>
    </row>
    <row r="2">
      <c r="A2" s="19" t="inlineStr">
        <is>
          <t>Added 2026-09-04. The importer reads these; until they are filled the app degrades safely rather than guessing.</t>
        </is>
      </c>
    </row>
    <row r="4">
      <c r="A4" s="20" t="inlineStr">
        <is>
          <t>The rule that governs all four</t>
        </is>
      </c>
    </row>
    <row r="5" ht="44" customHeight="1">
      <c r="A5" s="21" t="inlineStr">
        <is>
          <t>A blank is a fact.</t>
        </is>
      </c>
      <c r="B5" s="22" t="inlineStr">
        <is>
          <t>It means the information was not printed, not legible, or not published. Never fill a blank by inference — that is exactly the fabrication risk this database exists to prevent. Leave it blank and let the app degrade.</t>
        </is>
      </c>
    </row>
    <row r="7" ht="30" customHeight="1">
      <c r="A7" s="20" t="inlineStr">
        <is>
          <t>1. Price</t>
        </is>
      </c>
      <c r="B7" s="22" t="inlineStr">
        <is>
          <t>Columns Q–S</t>
        </is>
      </c>
    </row>
    <row r="8" ht="44" customHeight="1">
      <c r="A8" s="21" t="inlineStr">
        <is>
          <t>What breaks without it</t>
        </is>
      </c>
      <c r="B8" s="22" t="inlineStr">
        <is>
          <t>Products show "Price not yet verified" and the user's budget ceiling cannot be applied to them — so they are excluded from every budget-filtered recommendation.</t>
        </is>
      </c>
    </row>
    <row r="9" ht="44" customHeight="1">
      <c r="A9" s="21" t="inlineStr">
        <is>
          <t>How to fill</t>
        </is>
      </c>
      <c r="B9" s="22" t="inlineStr">
        <is>
          <t>Price (USD) = the current single-unit price from the official product page. Price Source URL = that page. Price Verified = the date you looked. Prices drift; re-check quarterly.</t>
        </is>
      </c>
    </row>
    <row r="10" ht="30" customHeight="1">
      <c r="A10" s="21" t="inlineStr">
        <is>
          <t>Watch for</t>
        </is>
      </c>
      <c r="B10" s="22" t="inlineStr">
        <is>
          <t>Subscription prices, bundle-only pricing, and sale prices. Record the standard one-time price.</t>
        </is>
      </c>
    </row>
    <row r="12" ht="30" customHeight="1">
      <c r="A12" s="20" t="inlineStr">
        <is>
          <t>2. Fragrance-free</t>
        </is>
      </c>
      <c r="B12" s="22" t="inlineStr">
        <is>
          <t>Columns T–U</t>
        </is>
      </c>
    </row>
    <row r="13" ht="44" customHeight="1">
      <c r="A13" s="21" t="inlineStr">
        <is>
          <t>What breaks without it</t>
        </is>
      </c>
      <c r="B13" s="22" t="inlineStr">
        <is>
          <t>Unknown is treated as fragranced. Anyone who selects "avoid fragrance" sees nothing from this catalog — the safest default, and the reason this column is worth filling first.</t>
        </is>
      </c>
    </row>
    <row r="14" ht="30" customHeight="1">
      <c r="A14" s="21" t="inlineStr">
        <is>
          <t>How to fill</t>
        </is>
      </c>
      <c r="B14" s="22" t="inlineStr">
        <is>
          <t>Yes / No / Unknown. Then record how you know: Full INCI checked &gt; Label image read &gt; Brand claim only &gt; Not checked.</t>
        </is>
      </c>
    </row>
    <row r="15" ht="44" customHeight="1">
      <c r="A15" s="21" t="inlineStr">
        <is>
          <t>Watch for</t>
        </is>
      </c>
      <c r="B15" s="22" t="inlineStr">
        <is>
          <t>"Unscented" is not fragrance-free — it can mean a masking fragrance. Look for parfum/fragrance, and for essential oils if you are treating those as fragrance. Alitura and OSEA-style botanical lines are the ones to check carefully.</t>
        </is>
      </c>
    </row>
    <row r="17" ht="30" customHeight="1">
      <c r="A17" s="20" t="inlineStr">
        <is>
          <t>3. Pregnancy review</t>
        </is>
      </c>
      <c r="B17" s="22" t="inlineStr">
        <is>
          <t>Columns Y–AA</t>
        </is>
      </c>
    </row>
    <row r="18" ht="30" customHeight="1">
      <c r="A18" s="21" t="inlineStr">
        <is>
          <t>What breaks without it</t>
        </is>
      </c>
      <c r="B18" s="22" t="inlineStr">
        <is>
          <t>Anyone pregnant, trying, or nursing gets category guidance only — no specific product recommendations at all.</t>
        </is>
      </c>
    </row>
    <row r="19" ht="44" customHeight="1">
      <c r="A19" s="21" t="inlineStr">
        <is>
          <t>Pregnancy Flag is PROVISIONAL</t>
        </is>
      </c>
      <c r="B19" s="22" t="inlineStr">
        <is>
          <t>Pre-filled from the active class this sheet already names — retinoids flagged avoid, exosomes and growth factors flagged practitioner-only, acids and tools flagged caution. These are starting points from ingredient class, not label review, and carry no clinical authority.</t>
        </is>
      </c>
    </row>
    <row r="20" ht="44" customHeight="1">
      <c r="A20" s="21" t="inlineStr">
        <is>
          <t>To make it real</t>
        </is>
      </c>
      <c r="B20" s="22" t="inlineStr">
        <is>
          <t>A qualified reviewer reads the full INCI, decides, and signs: change the flag to one of the REVIEWED — values, then enter Pregnancy Reviewed By and Pregnancy Review Date. The app only trusts REVIEWED — values.</t>
        </is>
      </c>
    </row>
    <row r="22" ht="30" customHeight="1">
      <c r="A22" s="20" t="inlineStr">
        <is>
          <t>4. Full ingredient list</t>
        </is>
      </c>
      <c r="B22" s="22" t="inlineStr">
        <is>
          <t>Columns V–X</t>
        </is>
      </c>
    </row>
    <row r="23" ht="44" customHeight="1">
      <c r="A23" s="21" t="inlineStr">
        <is>
          <t>What breaks without it</t>
        </is>
      </c>
      <c r="B23" s="22" t="inlineStr">
        <is>
          <t>Allergen matching only works against the handful of actives named in column F. A user avoiding an ingredient outside that list gets no protection.</t>
        </is>
      </c>
    </row>
    <row r="24" ht="30" customHeight="1">
      <c r="A24" s="21" t="inlineStr">
        <is>
          <t>How to fill</t>
        </is>
      </c>
      <c r="B24" s="22" t="inlineStr">
        <is>
          <t>Paste the complete INCI list from the label, in order, comma-separated. Record the source URL and capture date.</t>
        </is>
      </c>
    </row>
    <row r="25" ht="44" customHeight="1">
      <c r="A25" s="21" t="inlineStr">
        <is>
          <t>Watch for</t>
        </is>
      </c>
      <c r="B25" s="22" t="inlineStr">
        <is>
          <t>The panel is usually published only as an image — product-page HTML gives you marketing prose, not label data. Open the label image and read it. Manufacturer copy frequently disagrees with the manufacturer's own printed panel; when they conflict, the panel wins and you record the conflict.</t>
        </is>
      </c>
    </row>
    <row r="27">
      <c r="A27" s="20" t="inlineStr">
        <is>
          <t>Order of work</t>
        </is>
      </c>
    </row>
    <row r="28" ht="44" customHeight="1">
      <c r="A28" s="21" t="inlineStr">
        <is>
          <t>Sort by Fill Priority (column AE), high to low</t>
        </is>
      </c>
      <c r="B28" s="22" t="inlineStr">
        <is>
          <t>7 = priority-1 row with high affiliate potential. 0/skip = blocked, out of scope, or a bundle that inherits its components' data. Doing the top ~25 rows covers the products the app will actually recommend most.</t>
        </is>
      </c>
    </row>
    <row r="29" ht="30" customHeight="1">
      <c r="A29" s="21" t="inlineStr">
        <is>
          <t>Do fragrance-free first</t>
        </is>
      </c>
      <c r="B29" s="22" t="inlineStr">
        <is>
          <t>One column, biggest immediate unlock, and it is answerable from the same label image you need for INCI anyway.</t>
        </is>
      </c>
    </row>
    <row r="31">
      <c r="A31" s="20" t="inlineStr">
        <is>
          <t>Colour key</t>
        </is>
      </c>
    </row>
    <row r="32" ht="30" customHeight="1">
      <c r="A32" s="21" t="inlineStr">
        <is>
          <t>Cream fill</t>
        </is>
      </c>
      <c r="B32" s="22" t="inlineStr">
        <is>
          <t>You fill this in.</t>
        </is>
      </c>
    </row>
    <row r="33" ht="30" customHeight="1">
      <c r="A33" s="21" t="inlineStr">
        <is>
          <t>Green fill</t>
        </is>
      </c>
      <c r="B33" s="22" t="inlineStr">
        <is>
          <t>Provisional pregnancy class — needs a reviewer's signature to become real.</t>
        </is>
      </c>
    </row>
    <row r="34" ht="30" customHeight="1">
      <c r="A34" s="21" t="inlineStr">
        <is>
          <t>Red fill</t>
        </is>
      </c>
      <c r="B34" s="22" t="inlineStr">
        <is>
          <t>Blocked or out of scope. Do not spend time filling these until the blocker is resolved.</t>
        </is>
      </c>
    </row>
    <row r="36">
      <c r="A36" s="20" t="inlineStr">
        <is>
          <t>What was already flagged for you</t>
        </is>
      </c>
    </row>
    <row r="37" ht="44" customHeight="1">
      <c r="A37" s="21" t="inlineStr">
        <is>
          <t>6 blockers and 5 out-of-scope rows</t>
        </is>
      </c>
      <c r="B37" s="22" t="inlineStr">
        <is>
          <t>Carried from the Phase 9F label research (2026-08-04). Two products do not exist as named, two sunscreens publish no Drug Facts panel, one topical contains human platelet extract, one row covers two different products. See the Blocker column.</t>
        </is>
      </c>
    </row>
    <row r="38" ht="44" customHeight="1">
      <c r="A38" s="21" t="inlineStr">
        <is>
          <t>Scope question worth deciding</t>
        </is>
      </c>
      <c r="B38" s="22" t="inlineStr">
        <is>
          <t>Nutrafol, Nordic Naturals ProOmega, HigherDOSE and ZIIP are supplements and devices. vAIne's MVP excludes supplements, peptides and prescriptions, so they arguably do not belong in this catalog at all.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2" customWidth="1" min="4" max="4"/>
    <col width="13" customWidth="1" min="5" max="5"/>
    <col width="44" customWidth="1" min="6" max="6"/>
  </cols>
  <sheetData>
    <row r="1">
      <c r="A1" s="23" t="inlineStr">
        <is>
          <t>Fill progress</t>
        </is>
      </c>
    </row>
    <row r="2">
      <c r="A2" s="24" t="inlineStr">
        <is>
          <t>Live counts — they update as you type in Verified_Product_DB.</t>
        </is>
      </c>
    </row>
    <row r="4">
      <c r="A4" s="25" t="inlineStr">
        <is>
          <t>Field</t>
        </is>
      </c>
      <c r="B4" s="25" t="inlineStr">
        <is>
          <t>Column</t>
        </is>
      </c>
      <c r="C4" s="25" t="inlineStr">
        <is>
          <t>Filled</t>
        </is>
      </c>
      <c r="D4" s="25" t="inlineStr">
        <is>
          <t>Total rows</t>
        </is>
      </c>
      <c r="E4" s="25" t="inlineStr">
        <is>
          <t>% complete</t>
        </is>
      </c>
      <c r="F4" s="25" t="inlineStr">
        <is>
          <t>What it unlocks</t>
        </is>
      </c>
    </row>
    <row r="5">
      <c r="A5" s="26" t="inlineStr">
        <is>
          <t>Price</t>
        </is>
      </c>
      <c r="B5" s="27" t="inlineStr">
        <is>
          <t>Q</t>
        </is>
      </c>
      <c r="C5" s="27">
        <f>COUNT(Verified_Product_DB!Q2:Q82)</f>
        <v/>
      </c>
      <c r="D5" s="27" t="n">
        <v>81</v>
      </c>
      <c r="E5" s="28">
        <f>IFERROR(C5/D5,0)</f>
        <v/>
      </c>
      <c r="F5" s="29" t="inlineStr">
        <is>
          <t>Budget filtering</t>
        </is>
      </c>
    </row>
    <row r="6">
      <c r="A6" s="26" t="inlineStr">
        <is>
          <t>Fragrance-free answered</t>
        </is>
      </c>
      <c r="B6" s="27" t="inlineStr">
        <is>
          <t>T</t>
        </is>
      </c>
      <c r="C6" s="27">
        <f>COUNTIF(Verified_Product_DB!T2:T82,"&lt;&gt;Unknown")</f>
        <v/>
      </c>
      <c r="D6" s="27" t="n">
        <v>81</v>
      </c>
      <c r="E6" s="28">
        <f>IFERROR(C6/D6,0)</f>
        <v/>
      </c>
      <c r="F6" s="29" t="inlineStr">
        <is>
          <t>Fragrance-avoidance filter</t>
        </is>
      </c>
    </row>
    <row r="7">
      <c r="A7" s="26" t="inlineStr">
        <is>
          <t>Full INCI</t>
        </is>
      </c>
      <c r="B7" s="27" t="inlineStr">
        <is>
          <t>V</t>
        </is>
      </c>
      <c r="C7" s="27">
        <f>COUNTA(Verified_Product_DB!V2:V82)</f>
        <v/>
      </c>
      <c r="D7" s="27" t="n">
        <v>81</v>
      </c>
      <c r="E7" s="28">
        <f>IFERROR(C7/D7,0)</f>
        <v/>
      </c>
      <c r="F7" s="29" t="inlineStr">
        <is>
          <t>Allergen matching beyond listed actives</t>
        </is>
      </c>
    </row>
    <row r="8">
      <c r="A8" s="26" t="inlineStr">
        <is>
          <t>Pregnancy REVIEWED</t>
        </is>
      </c>
      <c r="B8" s="27" t="inlineStr">
        <is>
          <t>Y</t>
        </is>
      </c>
      <c r="C8" s="27">
        <f>COUNTIF(Verified_Product_DB!Y2:Y82,"REVIEWED*")</f>
        <v/>
      </c>
      <c r="D8" s="27" t="n">
        <v>81</v>
      </c>
      <c r="E8" s="28">
        <f>IFERROR(C8/D8,0)</f>
        <v/>
      </c>
      <c r="F8" s="29" t="inlineStr">
        <is>
          <t>Product-level recs for pregnant/nursing users</t>
        </is>
      </c>
    </row>
    <row r="9">
      <c r="A9" s="26" t="inlineStr">
        <is>
          <t>Price source recorded</t>
        </is>
      </c>
      <c r="B9" s="27" t="inlineStr">
        <is>
          <t>R</t>
        </is>
      </c>
      <c r="C9" s="27">
        <f>COUNTA(Verified_Product_DB!R2:R82)</f>
        <v/>
      </c>
      <c r="D9" s="27" t="n">
        <v>81</v>
      </c>
      <c r="E9" s="28">
        <f>IFERROR(C9/D9,0)</f>
        <v/>
      </c>
      <c r="F9" s="29" t="inlineStr">
        <is>
          <t>Provenance for the price</t>
        </is>
      </c>
    </row>
    <row r="10">
      <c r="A10" s="26" t="inlineStr">
        <is>
          <t>Catalog approved</t>
        </is>
      </c>
      <c r="B10" s="27" t="inlineStr">
        <is>
          <t>AC</t>
        </is>
      </c>
      <c r="C10" s="27">
        <f>COUNTIF(Verified_Product_DB!AC2:AC82,"catalog_approved")</f>
        <v/>
      </c>
      <c r="D10" s="27" t="n">
        <v>81</v>
      </c>
      <c r="E10" s="28">
        <f>IFERROR(C10/D10,0)</f>
        <v/>
      </c>
      <c r="F10" s="29" t="inlineStr">
        <is>
          <t>Visibility in the app at all</t>
        </is>
      </c>
    </row>
    <row r="12">
      <c r="A12" s="30" t="inlineStr">
        <is>
          <t>Blocked / out of scope</t>
        </is>
      </c>
    </row>
    <row r="13">
      <c r="A13" s="31">
        <f>COUNTIF(Verified_Product_DB!AC2:AC82,"blocked")&amp;" blocked, "&amp;COUNTIF(Verified_Product_DB!AC2:AC82,"out_of_scope")&amp;" out of scope"</f>
        <v/>
      </c>
    </row>
    <row r="15">
      <c r="A15" s="24" t="inlineStr">
        <is>
          <t>Counts calculate when Excel opens the file.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82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8" customWidth="1" min="3" max="3"/>
    <col width="28" customWidth="1" min="4" max="4"/>
    <col width="26" customWidth="1" min="5" max="5"/>
    <col width="46" customWidth="1" min="6" max="6"/>
    <col width="44" customWidth="1" min="7" max="7"/>
    <col width="26" customWidth="1" min="8" max="8"/>
    <col width="20" customWidth="1" min="9" max="9"/>
    <col width="46" customWidth="1" min="10" max="10"/>
    <col width="52" customWidth="1" min="11" max="11"/>
    <col width="24" customWidth="1" min="12" max="12"/>
    <col width="18" customWidth="1" min="13" max="13"/>
    <col width="26" customWidth="1" min="14" max="14"/>
    <col width="42" customWidth="1" min="15" max="15"/>
    <col width="42" customWidth="1" min="16" max="16"/>
    <col width="12" customWidth="1" min="17" max="17"/>
    <col width="30" customWidth="1" min="18" max="18"/>
    <col width="16" customWidth="1" min="19" max="19"/>
    <col width="15" customWidth="1" min="20" max="20"/>
    <col width="24" customWidth="1" min="21" max="21"/>
    <col width="46" customWidth="1" min="22" max="22"/>
    <col width="30" customWidth="1" min="23" max="23"/>
    <col width="17" customWidth="1" min="24" max="24"/>
    <col width="24" customWidth="1" min="25" max="25"/>
    <col width="20" customWidth="1" min="26" max="26"/>
    <col width="18" customWidth="1" min="27" max="27"/>
    <col width="22" customWidth="1" min="28" max="28"/>
    <col width="20" customWidth="1" min="29" max="29"/>
    <col width="52" customWidth="1" min="30" max="30"/>
    <col width="12" customWidth="1" min="31" max="31"/>
  </cols>
  <sheetData>
    <row r="1" ht="38" customHeight="1">
      <c r="A1" s="1" t="inlineStr">
        <is>
          <t>Priority</t>
        </is>
      </c>
      <c r="B1" s="1" t="inlineStr">
        <is>
          <t>Brand</t>
        </is>
      </c>
      <c r="C1" s="1" t="inlineStr">
        <is>
          <t>Product</t>
        </is>
      </c>
      <c r="D1" s="1" t="inlineStr">
        <is>
          <t>Product Type</t>
        </is>
      </c>
      <c r="E1" s="1" t="inlineStr">
        <is>
          <t>Category</t>
        </is>
      </c>
      <c r="F1" s="1" t="inlineStr">
        <is>
          <t>Known/Listed Actives or Positioning</t>
        </is>
      </c>
      <c r="G1" s="1" t="inlineStr">
        <is>
          <t>Best Skin Findings From AI Analysis</t>
        </is>
      </c>
      <c r="H1" s="1" t="inlineStr">
        <is>
          <t>Best Skin Types</t>
        </is>
      </c>
      <c r="I1" s="1" t="inlineStr">
        <is>
          <t>When to Use</t>
        </is>
      </c>
      <c r="J1" s="1" t="inlineStr">
        <is>
          <t>Avoid / Caution Logic</t>
        </is>
      </c>
      <c r="K1" s="1" t="inlineStr">
        <is>
          <t>Recommendation Logic</t>
        </is>
      </c>
      <c r="L1" s="1" t="inlineStr">
        <is>
          <t>Routine Slot</t>
        </is>
      </c>
      <c r="M1" s="1" t="inlineStr">
        <is>
          <t>Affiliate Potential</t>
        </is>
      </c>
      <c r="N1" s="1" t="inlineStr">
        <is>
          <t>Verification Level</t>
        </is>
      </c>
      <c r="O1" s="1" t="inlineStr">
        <is>
          <t>Source URL</t>
        </is>
      </c>
      <c r="P1" s="1" t="inlineStr">
        <is>
          <t>Notes</t>
        </is>
      </c>
      <c r="Q1" s="10" t="inlineStr">
        <is>
          <t>Price (USD)</t>
        </is>
      </c>
      <c r="R1" s="10" t="inlineStr">
        <is>
          <t>Price Source URL</t>
        </is>
      </c>
      <c r="S1" s="10" t="inlineStr">
        <is>
          <t>Price Verified (date)</t>
        </is>
      </c>
      <c r="T1" s="10" t="inlineStr">
        <is>
          <t>Fragrance-Free</t>
        </is>
      </c>
      <c r="U1" s="10" t="inlineStr">
        <is>
          <t>Fragrance Evidence</t>
        </is>
      </c>
      <c r="V1" s="10" t="inlineStr">
        <is>
          <t>Full INCI</t>
        </is>
      </c>
      <c r="W1" s="10" t="inlineStr">
        <is>
          <t>INCI Source URL</t>
        </is>
      </c>
      <c r="X1" s="10" t="inlineStr">
        <is>
          <t>INCI Captured (date)</t>
        </is>
      </c>
      <c r="Y1" s="10" t="inlineStr">
        <is>
          <t>Pregnancy Flag (PROVISIONAL)</t>
        </is>
      </c>
      <c r="Z1" s="10" t="inlineStr">
        <is>
          <t>Pregnancy Reviewed By</t>
        </is>
      </c>
      <c r="AA1" s="10" t="inlineStr">
        <is>
          <t>Pregnancy Review Date</t>
        </is>
      </c>
      <c r="AB1" s="10" t="inlineStr">
        <is>
          <t>Allergen Flags</t>
        </is>
      </c>
      <c r="AC1" s="10" t="inlineStr">
        <is>
          <t>Catalog State</t>
        </is>
      </c>
      <c r="AD1" s="10" t="inlineStr">
        <is>
          <t>Blocker / Known Issue</t>
        </is>
      </c>
      <c r="AE1" s="10" t="inlineStr">
        <is>
          <t>Fill Priority</t>
        </is>
      </c>
    </row>
    <row r="2" ht="42" customHeight="1">
      <c r="A2" s="2" t="n">
        <v>1</v>
      </c>
      <c r="B2" s="3" t="inlineStr">
        <is>
          <t>Young Goose</t>
        </is>
      </c>
      <c r="C2" s="3" t="inlineStr">
        <is>
          <t>YOUTH RESET</t>
        </is>
      </c>
      <c r="D2" s="3" t="inlineStr">
        <is>
          <t>Anti-Aging Serum</t>
        </is>
      </c>
      <c r="E2" s="3" t="inlineStr">
        <is>
          <t>Serum / Longevity</t>
        </is>
      </c>
      <c r="F2" s="3" t="inlineStr">
        <is>
          <t>Skin longevity serum; product page positions as anti-aging serum</t>
        </is>
      </c>
      <c r="G2" s="3" t="inlineStr">
        <is>
          <t>Fine lines, dullness, texture irregularity, biological aging appearance</t>
        </is>
      </c>
      <c r="H2" s="3" t="inlineStr">
        <is>
          <t>Normal, dry, combination, mature</t>
        </is>
      </c>
      <c r="I2" s="3" t="inlineStr">
        <is>
          <t>PM or as directed</t>
        </is>
      </c>
      <c r="J2" s="3" t="inlineStr">
        <is>
          <t>Patch test; use cautiously with strong retinoids/acids if sensitive</t>
        </is>
      </c>
      <c r="K2" s="3" t="inlineStr">
        <is>
          <t>If Skin Longevity Score low or collagen/texture markers present, prioritize YOUTH RESET</t>
        </is>
      </c>
      <c r="L2" s="3" t="inlineStr">
        <is>
          <t>Treatment serum</t>
        </is>
      </c>
      <c r="M2" s="3" t="inlineStr">
        <is>
          <t>High</t>
        </is>
      </c>
      <c r="N2" s="3" t="inlineStr">
        <is>
          <t>Official collection page</t>
        </is>
      </c>
      <c r="O2" s="4" t="inlineStr">
        <is>
          <t>https://www.younggoose.com/collections/all</t>
        </is>
      </c>
      <c r="P2" s="3" t="inlineStr"/>
      <c r="Q2" s="11" t="n"/>
      <c r="R2" s="11" t="n"/>
      <c r="S2" s="11" t="n"/>
      <c r="T2" s="12" t="inlineStr">
        <is>
          <t>Unknown</t>
        </is>
      </c>
      <c r="U2" s="11" t="n"/>
      <c r="V2" s="11" t="n"/>
      <c r="W2" s="11" t="n"/>
      <c r="X2" s="11" t="n"/>
      <c r="Y2" s="13" t="inlineStr">
        <is>
          <t>Not reviewed</t>
        </is>
      </c>
      <c r="Z2" s="11" t="n"/>
      <c r="AA2" s="11" t="n"/>
      <c r="AB2" s="11" t="n"/>
      <c r="AC2" s="14" t="inlineStr">
        <is>
          <t>research_only</t>
        </is>
      </c>
      <c r="AD2" s="15" t="n"/>
      <c r="AE2" s="14" t="n">
        <v>7</v>
      </c>
    </row>
    <row r="3" ht="42" customHeight="1">
      <c r="A3" s="2" t="n">
        <v>1</v>
      </c>
      <c r="B3" s="3" t="inlineStr">
        <is>
          <t>Young Goose</t>
        </is>
      </c>
      <c r="C3" s="3" t="inlineStr">
        <is>
          <t>YOUTH DAILY</t>
        </is>
      </c>
      <c r="D3" s="3" t="inlineStr">
        <is>
          <t>Skin Longevity Moisturizer</t>
        </is>
      </c>
      <c r="E3" s="3" t="inlineStr">
        <is>
          <t>Moisturizer / Longevity</t>
        </is>
      </c>
      <c r="F3" s="3" t="inlineStr">
        <is>
          <t>Skin longevity moisturizer</t>
        </is>
      </c>
      <c r="G3" s="3" t="inlineStr">
        <is>
          <t>Barrier stress, mild dehydration, early aging, dullness</t>
        </is>
      </c>
      <c r="H3" s="3" t="inlineStr">
        <is>
          <t>Normal, dry, combination, mature</t>
        </is>
      </c>
      <c r="I3" s="3" t="inlineStr">
        <is>
          <t>AM/PM</t>
        </is>
      </c>
      <c r="J3" s="3" t="inlineStr">
        <is>
          <t>May be too rich for very oily/acne-prone users</t>
        </is>
      </c>
      <c r="K3" s="3" t="inlineStr">
        <is>
          <t>If hydration/barrier score is moderate-low and aging prevention is a goal, recommend YOUTH DAILY</t>
        </is>
      </c>
      <c r="L3" s="3" t="inlineStr">
        <is>
          <t>Moisturizer</t>
        </is>
      </c>
      <c r="M3" s="3" t="inlineStr">
        <is>
          <t>High</t>
        </is>
      </c>
      <c r="N3" s="3" t="inlineStr">
        <is>
          <t>Official collection page</t>
        </is>
      </c>
      <c r="O3" s="4" t="inlineStr">
        <is>
          <t>https://www.younggoose.com/collections/all</t>
        </is>
      </c>
      <c r="P3" s="3" t="inlineStr"/>
      <c r="Q3" s="11" t="n"/>
      <c r="R3" s="11" t="n"/>
      <c r="S3" s="11" t="n"/>
      <c r="T3" s="12" t="inlineStr">
        <is>
          <t>Unknown</t>
        </is>
      </c>
      <c r="U3" s="11" t="n"/>
      <c r="V3" s="11" t="n"/>
      <c r="W3" s="11" t="n"/>
      <c r="X3" s="11" t="n"/>
      <c r="Y3" s="13" t="inlineStr">
        <is>
          <t>Not reviewed</t>
        </is>
      </c>
      <c r="Z3" s="11" t="n"/>
      <c r="AA3" s="11" t="n"/>
      <c r="AB3" s="11" t="n"/>
      <c r="AC3" s="14" t="inlineStr">
        <is>
          <t>research_only</t>
        </is>
      </c>
      <c r="AD3" s="15" t="n"/>
      <c r="AE3" s="14" t="n">
        <v>7</v>
      </c>
    </row>
    <row r="4" ht="42" customHeight="1">
      <c r="A4" s="2" t="n">
        <v>1</v>
      </c>
      <c r="B4" s="3" t="inlineStr">
        <is>
          <t>Young Goose</t>
        </is>
      </c>
      <c r="C4" s="3" t="inlineStr">
        <is>
          <t>ADAPTOGENIC CLEANSER</t>
        </is>
      </c>
      <c r="D4" s="3" t="inlineStr">
        <is>
          <t>Gentle Longevity Face Wash</t>
        </is>
      </c>
      <c r="E4" s="3" t="inlineStr">
        <is>
          <t>Cleanser</t>
        </is>
      </c>
      <c r="F4" s="3" t="inlineStr">
        <is>
          <t>Gentle longevity face wash</t>
        </is>
      </c>
      <c r="G4" s="3" t="inlineStr">
        <is>
          <t>Mild congestion, sensitive cleanser need, barrier-safe cleanse</t>
        </is>
      </c>
      <c r="H4" s="3" t="inlineStr">
        <is>
          <t>All, especially sensitive/combination</t>
        </is>
      </c>
      <c r="I4" s="3" t="inlineStr">
        <is>
          <t>AM/PM</t>
        </is>
      </c>
      <c r="J4" s="3" t="inlineStr">
        <is>
          <t>Avoid over-cleansing if very dry</t>
        </is>
      </c>
      <c r="K4" s="3" t="inlineStr">
        <is>
          <t>If barrier stress or sensitivity is present, use as primary cleanser</t>
        </is>
      </c>
      <c r="L4" s="3" t="inlineStr">
        <is>
          <t>Cleanser</t>
        </is>
      </c>
      <c r="M4" s="3" t="inlineStr">
        <is>
          <t>High</t>
        </is>
      </c>
      <c r="N4" s="3" t="inlineStr">
        <is>
          <t>Official collection page</t>
        </is>
      </c>
      <c r="O4" s="4" t="inlineStr">
        <is>
          <t>https://www.younggoose.com/collections/all</t>
        </is>
      </c>
      <c r="P4" s="3" t="inlineStr"/>
      <c r="Q4" s="11" t="n"/>
      <c r="R4" s="11" t="n"/>
      <c r="S4" s="11" t="n"/>
      <c r="T4" s="12" t="inlineStr">
        <is>
          <t>Unknown</t>
        </is>
      </c>
      <c r="U4" s="11" t="n"/>
      <c r="V4" s="11" t="n"/>
      <c r="W4" s="11" t="n"/>
      <c r="X4" s="11" t="n"/>
      <c r="Y4" s="13" t="inlineStr">
        <is>
          <t>Not reviewed</t>
        </is>
      </c>
      <c r="Z4" s="11" t="n"/>
      <c r="AA4" s="11" t="n"/>
      <c r="AB4" s="11" t="n"/>
      <c r="AC4" s="14" t="inlineStr">
        <is>
          <t>research_only</t>
        </is>
      </c>
      <c r="AD4" s="15" t="n"/>
      <c r="AE4" s="14" t="n">
        <v>7</v>
      </c>
    </row>
    <row r="5" ht="42" customHeight="1">
      <c r="A5" s="2" t="n">
        <v>1</v>
      </c>
      <c r="B5" s="3" t="inlineStr">
        <is>
          <t>Young Goose</t>
        </is>
      </c>
      <c r="C5" s="3" t="inlineStr">
        <is>
          <t>EYEC.A.R.E.</t>
        </is>
      </c>
      <c r="D5" s="3" t="inlineStr">
        <is>
          <t>NAD+ Boosting Eye Cream</t>
        </is>
      </c>
      <c r="E5" s="3" t="inlineStr">
        <is>
          <t>Eye Care</t>
        </is>
      </c>
      <c r="F5" s="3" t="inlineStr">
        <is>
          <t>NAD+ boosting eye cream</t>
        </is>
      </c>
      <c r="G5" s="3" t="inlineStr">
        <is>
          <t>Under-eye fine lines, fatigue appearance, crepiness</t>
        </is>
      </c>
      <c r="H5" s="3" t="inlineStr">
        <is>
          <t>All</t>
        </is>
      </c>
      <c r="I5" s="3" t="inlineStr">
        <is>
          <t>AM/PM</t>
        </is>
      </c>
      <c r="J5" s="3" t="inlineStr">
        <is>
          <t>Avoid direct eye contact</t>
        </is>
      </c>
      <c r="K5" s="3" t="inlineStr">
        <is>
          <t>If under-eye aging/darkness/fatigue is flagged, recommend EYEC.A.R.E.</t>
        </is>
      </c>
      <c r="L5" s="3" t="inlineStr">
        <is>
          <t>Eye cream</t>
        </is>
      </c>
      <c r="M5" s="3" t="inlineStr">
        <is>
          <t>High</t>
        </is>
      </c>
      <c r="N5" s="3" t="inlineStr">
        <is>
          <t>Official collection page</t>
        </is>
      </c>
      <c r="O5" s="4" t="inlineStr">
        <is>
          <t>https://www.younggoose.com/collections/all</t>
        </is>
      </c>
      <c r="P5" s="3" t="inlineStr"/>
      <c r="Q5" s="11" t="n"/>
      <c r="R5" s="11" t="n"/>
      <c r="S5" s="11" t="n"/>
      <c r="T5" s="12" t="inlineStr">
        <is>
          <t>Unknown</t>
        </is>
      </c>
      <c r="U5" s="11" t="n"/>
      <c r="V5" s="11" t="n"/>
      <c r="W5" s="11" t="n"/>
      <c r="X5" s="11" t="n"/>
      <c r="Y5" s="13" t="inlineStr">
        <is>
          <t>Not reviewed</t>
        </is>
      </c>
      <c r="Z5" s="11" t="n"/>
      <c r="AA5" s="11" t="n"/>
      <c r="AB5" s="11" t="n"/>
      <c r="AC5" s="14" t="inlineStr">
        <is>
          <t>research_only</t>
        </is>
      </c>
      <c r="AD5" s="15" t="n"/>
      <c r="AE5" s="14" t="n">
        <v>7</v>
      </c>
    </row>
    <row r="6" ht="42" customHeight="1">
      <c r="A6" s="2" t="n">
        <v>1</v>
      </c>
      <c r="B6" s="3" t="inlineStr">
        <is>
          <t>Young Goose</t>
        </is>
      </c>
      <c r="C6" s="3" t="inlineStr">
        <is>
          <t>BIO-SHIELD SPF 40</t>
        </is>
      </c>
      <c r="D6" s="3" t="inlineStr">
        <is>
          <t>Environmental Protection SPF</t>
        </is>
      </c>
      <c r="E6" s="3" t="inlineStr">
        <is>
          <t>Sunscreen</t>
        </is>
      </c>
      <c r="F6" s="3" t="inlineStr">
        <is>
          <t>Defense against UV, blue light &amp; EMFs</t>
        </is>
      </c>
      <c r="G6" s="3" t="inlineStr">
        <is>
          <t>Sun exposure, pigmentation risk, prevention, skin longevity</t>
        </is>
      </c>
      <c r="H6" s="3" t="inlineStr">
        <is>
          <t>All</t>
        </is>
      </c>
      <c r="I6" s="3" t="inlineStr">
        <is>
          <t>AM daily</t>
        </is>
      </c>
      <c r="J6" s="3" t="inlineStr">
        <is>
          <t>Reapply; patch test for reactive skin</t>
        </is>
      </c>
      <c r="K6" s="3" t="inlineStr">
        <is>
          <t>If UV damage, pigmentation, or prevention priority is flagged, recommend daily BIO-SHIELD SPF 40</t>
        </is>
      </c>
      <c r="L6" s="3" t="inlineStr">
        <is>
          <t>Sunscreen</t>
        </is>
      </c>
      <c r="M6" s="3" t="inlineStr">
        <is>
          <t>High</t>
        </is>
      </c>
      <c r="N6" s="3" t="inlineStr">
        <is>
          <t>Official collection page</t>
        </is>
      </c>
      <c r="O6" s="4" t="inlineStr">
        <is>
          <t>https://www.younggoose.com/collections/all</t>
        </is>
      </c>
      <c r="P6" s="3" t="inlineStr"/>
      <c r="Q6" s="11" t="n"/>
      <c r="R6" s="11" t="n"/>
      <c r="S6" s="11" t="n"/>
      <c r="T6" s="12" t="inlineStr">
        <is>
          <t>Unknown</t>
        </is>
      </c>
      <c r="U6" s="11" t="n"/>
      <c r="V6" s="11" t="n"/>
      <c r="W6" s="11" t="n"/>
      <c r="X6" s="11" t="n"/>
      <c r="Y6" s="13" t="inlineStr">
        <is>
          <t>Not reviewed</t>
        </is>
      </c>
      <c r="Z6" s="11" t="n"/>
      <c r="AA6" s="11" t="n"/>
      <c r="AB6" s="11" t="n"/>
      <c r="AC6" s="14" t="inlineStr">
        <is>
          <t>blocked</t>
        </is>
      </c>
      <c r="AD6" s="16" t="inlineStr">
        <is>
          <t>BLOCKER (Phase 9F): publishes an OTC-style ingredient list with NO Drug Facts panel, no warnings, no broad-spectrum statement. US sunscreens are OTC drugs. Cannot be approved until resolved with the brand.</t>
        </is>
      </c>
      <c r="AE6" s="14" t="inlineStr">
        <is>
          <t>skip</t>
        </is>
      </c>
    </row>
    <row r="7" ht="42" customHeight="1">
      <c r="A7" s="2" t="n">
        <v>1</v>
      </c>
      <c r="B7" s="3" t="inlineStr">
        <is>
          <t>Young Goose</t>
        </is>
      </c>
      <c r="C7" s="3" t="inlineStr">
        <is>
          <t>HYPERBARIC MASK</t>
        </is>
      </c>
      <c r="D7" s="3" t="inlineStr">
        <is>
          <t>Lifting Oxygen Therapy</t>
        </is>
      </c>
      <c r="E7" s="3" t="inlineStr">
        <is>
          <t>Mask / Treatment</t>
        </is>
      </c>
      <c r="F7" s="3" t="inlineStr">
        <is>
          <t>Lifting oxygen therapy</t>
        </is>
      </c>
      <c r="G7" s="3" t="inlineStr">
        <is>
          <t>Dullness, tired skin, event prep, low radiance</t>
        </is>
      </c>
      <c r="H7" s="3" t="inlineStr">
        <is>
          <t>Normal, dry, combination</t>
        </is>
      </c>
      <c r="I7" s="3" t="inlineStr">
        <is>
          <t>Weekly / event prep</t>
        </is>
      </c>
      <c r="J7" s="3" t="inlineStr">
        <is>
          <t>Patch test if reactive</t>
        </is>
      </c>
      <c r="K7" s="3" t="inlineStr">
        <is>
          <t>If radiance score is low or dullness is present, suggest weekly HYPERBARIC MASK</t>
        </is>
      </c>
      <c r="L7" s="3" t="inlineStr">
        <is>
          <t>Weekly mask</t>
        </is>
      </c>
      <c r="M7" s="3" t="inlineStr">
        <is>
          <t>High</t>
        </is>
      </c>
      <c r="N7" s="3" t="inlineStr">
        <is>
          <t>Official collection page</t>
        </is>
      </c>
      <c r="O7" s="4" t="inlineStr">
        <is>
          <t>https://www.younggoose.com/collections/all</t>
        </is>
      </c>
      <c r="P7" s="3" t="inlineStr"/>
      <c r="Q7" s="11" t="n"/>
      <c r="R7" s="11" t="n"/>
      <c r="S7" s="11" t="n"/>
      <c r="T7" s="12" t="inlineStr">
        <is>
          <t>Unknown</t>
        </is>
      </c>
      <c r="U7" s="11" t="n"/>
      <c r="V7" s="11" t="n"/>
      <c r="W7" s="11" t="n"/>
      <c r="X7" s="11" t="n"/>
      <c r="Y7" s="13" t="inlineStr">
        <is>
          <t>Not reviewed</t>
        </is>
      </c>
      <c r="Z7" s="11" t="n"/>
      <c r="AA7" s="11" t="n"/>
      <c r="AB7" s="11" t="n"/>
      <c r="AC7" s="14" t="inlineStr">
        <is>
          <t>research_only</t>
        </is>
      </c>
      <c r="AD7" s="15" t="n"/>
      <c r="AE7" s="14" t="n">
        <v>7</v>
      </c>
    </row>
    <row r="8" ht="42" customHeight="1">
      <c r="A8" s="2" t="n">
        <v>1</v>
      </c>
      <c r="B8" s="3" t="inlineStr">
        <is>
          <t>Young Goose</t>
        </is>
      </c>
      <c r="C8" s="3" t="inlineStr">
        <is>
          <t>BLUE PEPTIDE SPRAY</t>
        </is>
      </c>
      <c r="D8" s="3" t="inlineStr">
        <is>
          <t>Mitochondrial Upgrade Mist</t>
        </is>
      </c>
      <c r="E8" s="3" t="inlineStr">
        <is>
          <t>Mist / Peptide Support</t>
        </is>
      </c>
      <c r="F8" s="3" t="inlineStr">
        <is>
          <t>Mitochondrial upgrade mist</t>
        </is>
      </c>
      <c r="G8" s="3" t="inlineStr">
        <is>
          <t>Dullness, dryness, skin fatigue, barrier support</t>
        </is>
      </c>
      <c r="H8" s="3" t="inlineStr">
        <is>
          <t>All</t>
        </is>
      </c>
      <c r="I8" s="3" t="inlineStr">
        <is>
          <t>AM/PM, after cleanse</t>
        </is>
      </c>
      <c r="J8" s="3" t="inlineStr">
        <is>
          <t>Patch test; avoid over-layering with irritating actives</t>
        </is>
      </c>
      <c r="K8" s="3" t="inlineStr">
        <is>
          <t>If skin fatigue or low recovery capacity appears, suggest BLUE PEPTIDE SPRAY</t>
        </is>
      </c>
      <c r="L8" s="3" t="inlineStr">
        <is>
          <t>Hydrating mist</t>
        </is>
      </c>
      <c r="M8" s="3" t="inlineStr">
        <is>
          <t>High</t>
        </is>
      </c>
      <c r="N8" s="3" t="inlineStr">
        <is>
          <t>Official collection page</t>
        </is>
      </c>
      <c r="O8" s="4" t="inlineStr">
        <is>
          <t>https://www.younggoose.com/collections/all</t>
        </is>
      </c>
      <c r="P8" s="3" t="inlineStr"/>
      <c r="Q8" s="11" t="n"/>
      <c r="R8" s="11" t="n"/>
      <c r="S8" s="11" t="n"/>
      <c r="T8" s="12" t="inlineStr">
        <is>
          <t>Unknown</t>
        </is>
      </c>
      <c r="U8" s="11" t="n"/>
      <c r="V8" s="11" t="n"/>
      <c r="W8" s="11" t="n"/>
      <c r="X8" s="11" t="n"/>
      <c r="Y8" s="13" t="inlineStr">
        <is>
          <t>Not reviewed</t>
        </is>
      </c>
      <c r="Z8" s="11" t="n"/>
      <c r="AA8" s="11" t="n"/>
      <c r="AB8" s="11" t="n"/>
      <c r="AC8" s="14" t="inlineStr">
        <is>
          <t>research_only</t>
        </is>
      </c>
      <c r="AD8" s="15" t="n"/>
      <c r="AE8" s="14" t="n">
        <v>7</v>
      </c>
    </row>
    <row r="9" ht="42" customHeight="1">
      <c r="A9" s="2" t="n">
        <v>1</v>
      </c>
      <c r="B9" s="3" t="inlineStr">
        <is>
          <t>Young Goose</t>
        </is>
      </c>
      <c r="C9" s="3" t="inlineStr">
        <is>
          <t>VAMPIRE EXOSOMES</t>
        </is>
      </c>
      <c r="D9" s="3" t="inlineStr">
        <is>
          <t>Professional Exosome Serum</t>
        </is>
      </c>
      <c r="E9" s="3" t="inlineStr">
        <is>
          <t>Advanced Regenerative Serum</t>
        </is>
      </c>
      <c r="F9" s="3" t="inlineStr">
        <is>
          <t>Professional exosome serum for regeneration and post-treatment recovery</t>
        </is>
      </c>
      <c r="G9" s="3" t="inlineStr">
        <is>
          <t>Post-treatment recovery, inflammation, texture, advanced aging support</t>
        </is>
      </c>
      <c r="H9" s="3" t="inlineStr">
        <is>
          <t>Mature, post-procedure, resilient skin</t>
        </is>
      </c>
      <c r="I9" s="3" t="inlineStr">
        <is>
          <t>PM / post-procedure under professional guidance</t>
        </is>
      </c>
      <c r="J9" s="3" t="inlineStr">
        <is>
          <t>Use professional guidance post-procedure; patch test</t>
        </is>
      </c>
      <c r="K9" s="3" t="inlineStr">
        <is>
          <t>If advanced regenerative/post-treatment recommendation is needed, recommend VAMPIRE EXOSOMES</t>
        </is>
      </c>
      <c r="L9" s="3" t="inlineStr">
        <is>
          <t>Advanced serum</t>
        </is>
      </c>
      <c r="M9" s="3" t="inlineStr">
        <is>
          <t>High</t>
        </is>
      </c>
      <c r="N9" s="3" t="inlineStr">
        <is>
          <t>Official collection page</t>
        </is>
      </c>
      <c r="O9" s="4" t="inlineStr">
        <is>
          <t>https://www.younggoose.com/collections/all</t>
        </is>
      </c>
      <c r="P9" s="3" t="inlineStr"/>
      <c r="Q9" s="11" t="n"/>
      <c r="R9" s="11" t="n"/>
      <c r="S9" s="11" t="n"/>
      <c r="T9" s="12" t="inlineStr">
        <is>
          <t>Unknown</t>
        </is>
      </c>
      <c r="U9" s="11" t="n"/>
      <c r="V9" s="11" t="n"/>
      <c r="W9" s="11" t="n"/>
      <c r="X9" s="11" t="n"/>
      <c r="Y9" s="17" t="inlineStr">
        <is>
          <t>PRACTITIONER ONLY (provisional)</t>
        </is>
      </c>
      <c r="Z9" s="11" t="n"/>
      <c r="AA9" s="11" t="n"/>
      <c r="AB9" s="11" t="n"/>
      <c r="AC9" s="14" t="inlineStr">
        <is>
          <t>blocked</t>
        </is>
      </c>
      <c r="AD9" s="16" t="inlineStr">
        <is>
          <t>BLOCKER (Phase 9F): contains human platelet extract in a topical cosmetic. Practitioner and jurisdiction review required before any consumer recommendation.</t>
        </is>
      </c>
      <c r="AE9" s="14" t="inlineStr">
        <is>
          <t>skip</t>
        </is>
      </c>
    </row>
    <row r="10" ht="42" customHeight="1">
      <c r="A10" s="2" t="n">
        <v>1</v>
      </c>
      <c r="B10" s="3" t="inlineStr">
        <is>
          <t>Young Goose</t>
        </is>
      </c>
      <c r="C10" s="3" t="inlineStr">
        <is>
          <t>BIO-RETINOL</t>
        </is>
      </c>
      <c r="D10" s="3" t="inlineStr">
        <is>
          <t>Wrinkle Correcting Serum</t>
        </is>
      </c>
      <c r="E10" s="3" t="inlineStr">
        <is>
          <t>Retinol Alternative / Treatment</t>
        </is>
      </c>
      <c r="F10" s="3" t="inlineStr">
        <is>
          <t>Wrinkle correcting serum</t>
        </is>
      </c>
      <c r="G10" s="3" t="inlineStr">
        <is>
          <t>Fine lines, wrinkles, texture, aging prevention</t>
        </is>
      </c>
      <c r="H10" s="3" t="inlineStr">
        <is>
          <t>Normal, combo, mature; retinol-sensitive users</t>
        </is>
      </c>
      <c r="I10" s="3" t="inlineStr">
        <is>
          <t>PM</t>
        </is>
      </c>
      <c r="J10" s="3" t="inlineStr">
        <is>
          <t>Use cautiously with pregnancy unless cleared; avoid stacking with strong acids</t>
        </is>
      </c>
      <c r="K10" s="3" t="inlineStr">
        <is>
          <t>If fine lines + texture but retinoid sensitivity exists, suggest BIO-RETINOL</t>
        </is>
      </c>
      <c r="L10" s="3" t="inlineStr">
        <is>
          <t>Night treatment</t>
        </is>
      </c>
      <c r="M10" s="3" t="inlineStr">
        <is>
          <t>High</t>
        </is>
      </c>
      <c r="N10" s="3" t="inlineStr">
        <is>
          <t>Official collection page</t>
        </is>
      </c>
      <c r="O10" s="4" t="inlineStr">
        <is>
          <t>https://www.younggoose.com/collections/all</t>
        </is>
      </c>
      <c r="P10" s="3" t="inlineStr"/>
      <c r="Q10" s="11" t="n"/>
      <c r="R10" s="11" t="n"/>
      <c r="S10" s="11" t="n"/>
      <c r="T10" s="12" t="inlineStr">
        <is>
          <t>Unknown</t>
        </is>
      </c>
      <c r="U10" s="11" t="n"/>
      <c r="V10" s="11" t="n"/>
      <c r="W10" s="11" t="n"/>
      <c r="X10" s="11" t="n"/>
      <c r="Y10" s="17" t="inlineStr">
        <is>
          <t>AVOID (provisional)</t>
        </is>
      </c>
      <c r="Z10" s="11" t="n"/>
      <c r="AA10" s="11" t="n"/>
      <c r="AB10" s="11" t="n"/>
      <c r="AC10" s="14" t="inlineStr">
        <is>
          <t>research_only</t>
        </is>
      </c>
      <c r="AD10" s="15" t="n"/>
      <c r="AE10" s="14" t="n">
        <v>7</v>
      </c>
    </row>
    <row r="11" ht="42" customHeight="1">
      <c r="A11" s="2" t="n">
        <v>1</v>
      </c>
      <c r="B11" s="3" t="inlineStr">
        <is>
          <t>Young Goose</t>
        </is>
      </c>
      <c r="C11" s="3" t="inlineStr">
        <is>
          <t>L.A.D.R.</t>
        </is>
      </c>
      <c r="D11" s="3" t="inlineStr">
        <is>
          <t>Red Light-Activated Antioxidant Serum</t>
        </is>
      </c>
      <c r="E11" s="3" t="inlineStr">
        <is>
          <t>Antioxidant Serum</t>
        </is>
      </c>
      <c r="F11" s="3" t="inlineStr">
        <is>
          <t>Red light-activated antioxidant serum</t>
        </is>
      </c>
      <c r="G11" s="3" t="inlineStr">
        <is>
          <t>Oxidative stress, inflammation, red light users, dullness</t>
        </is>
      </c>
      <c r="H11" s="3" t="inlineStr">
        <is>
          <t>All</t>
        </is>
      </c>
      <c r="I11" s="3" t="inlineStr">
        <is>
          <t>AM/PM with red light routine</t>
        </is>
      </c>
      <c r="J11" s="3" t="inlineStr">
        <is>
          <t>Patch test; do not claim device-level effects</t>
        </is>
      </c>
      <c r="K11" s="3" t="inlineStr">
        <is>
          <t>If user uses red light or has oxidative stress markers, recommend L.A.D.R.</t>
        </is>
      </c>
      <c r="L11" s="3" t="inlineStr">
        <is>
          <t>Antioxidant serum</t>
        </is>
      </c>
      <c r="M11" s="3" t="inlineStr">
        <is>
          <t>High</t>
        </is>
      </c>
      <c r="N11" s="3" t="inlineStr">
        <is>
          <t>Official collection page</t>
        </is>
      </c>
      <c r="O11" s="4" t="inlineStr">
        <is>
          <t>https://www.younggoose.com/collections/all</t>
        </is>
      </c>
      <c r="P11" s="3" t="inlineStr"/>
      <c r="Q11" s="11" t="n"/>
      <c r="R11" s="11" t="n"/>
      <c r="S11" s="11" t="n"/>
      <c r="T11" s="12" t="inlineStr">
        <is>
          <t>Unknown</t>
        </is>
      </c>
      <c r="U11" s="11" t="n"/>
      <c r="V11" s="11" t="n"/>
      <c r="W11" s="11" t="n"/>
      <c r="X11" s="11" t="n"/>
      <c r="Y11" s="13" t="inlineStr">
        <is>
          <t>Not reviewed</t>
        </is>
      </c>
      <c r="Z11" s="11" t="n"/>
      <c r="AA11" s="11" t="n"/>
      <c r="AB11" s="11" t="n"/>
      <c r="AC11" s="14" t="inlineStr">
        <is>
          <t>research_only</t>
        </is>
      </c>
      <c r="AD11" s="15" t="n"/>
      <c r="AE11" s="14" t="n">
        <v>7</v>
      </c>
    </row>
    <row r="12" ht="42" customHeight="1">
      <c r="A12" s="2" t="n">
        <v>1</v>
      </c>
      <c r="B12" s="3" t="inlineStr">
        <is>
          <t>Young Goose</t>
        </is>
      </c>
      <c r="C12" s="3" t="inlineStr">
        <is>
          <t>YOUTH FIRMING NECK &amp; CHEST</t>
        </is>
      </c>
      <c r="D12" s="3" t="inlineStr">
        <is>
          <t>Neck &amp; Décolleté Restoration</t>
        </is>
      </c>
      <c r="E12" s="3" t="inlineStr">
        <is>
          <t>Neck / Body Treatment</t>
        </is>
      </c>
      <c r="F12" s="3" t="inlineStr">
        <is>
          <t>Focused neck and décolleté restoration</t>
        </is>
      </c>
      <c r="G12" s="3" t="inlineStr">
        <is>
          <t>Neck lines, crepey skin, laxity, sun damage neck/chest</t>
        </is>
      </c>
      <c r="H12" s="3" t="inlineStr">
        <is>
          <t>Mature, dry, normal</t>
        </is>
      </c>
      <c r="I12" s="3" t="inlineStr">
        <is>
          <t>AM/PM</t>
        </is>
      </c>
      <c r="J12" s="3" t="inlineStr">
        <is>
          <t>Use SPF on neck/chest during day</t>
        </is>
      </c>
      <c r="K12" s="3" t="inlineStr">
        <is>
          <t>If neck/chest aging or laxity is flagged, recommend this product</t>
        </is>
      </c>
      <c r="L12" s="3" t="inlineStr">
        <is>
          <t>Neck/chest cream</t>
        </is>
      </c>
      <c r="M12" s="3" t="inlineStr">
        <is>
          <t>High</t>
        </is>
      </c>
      <c r="N12" s="3" t="inlineStr">
        <is>
          <t>Official collection page</t>
        </is>
      </c>
      <c r="O12" s="4" t="inlineStr">
        <is>
          <t>https://www.younggoose.com/collections/all</t>
        </is>
      </c>
      <c r="P12" s="3" t="inlineStr"/>
      <c r="Q12" s="11" t="n"/>
      <c r="R12" s="11" t="n"/>
      <c r="S12" s="11" t="n"/>
      <c r="T12" s="12" t="inlineStr">
        <is>
          <t>Unknown</t>
        </is>
      </c>
      <c r="U12" s="11" t="n"/>
      <c r="V12" s="11" t="n"/>
      <c r="W12" s="11" t="n"/>
      <c r="X12" s="11" t="n"/>
      <c r="Y12" s="13" t="inlineStr">
        <is>
          <t>Not reviewed</t>
        </is>
      </c>
      <c r="Z12" s="11" t="n"/>
      <c r="AA12" s="11" t="n"/>
      <c r="AB12" s="11" t="n"/>
      <c r="AC12" s="14" t="inlineStr">
        <is>
          <t>research_only</t>
        </is>
      </c>
      <c r="AD12" s="15" t="n"/>
      <c r="AE12" s="14" t="n">
        <v>7</v>
      </c>
    </row>
    <row r="13" ht="42" customHeight="1">
      <c r="A13" s="2" t="n">
        <v>1</v>
      </c>
      <c r="B13" s="3" t="inlineStr">
        <is>
          <t>Young Goose</t>
        </is>
      </c>
      <c r="C13" s="3" t="inlineStr">
        <is>
          <t>ADAPTOGLOSS</t>
        </is>
      </c>
      <c r="D13" s="3" t="inlineStr">
        <is>
          <t>Lip Plumper</t>
        </is>
      </c>
      <c r="E13" s="3" t="inlineStr">
        <is>
          <t>Lip Treatment</t>
        </is>
      </c>
      <c r="F13" s="3" t="inlineStr">
        <is>
          <t>Lip plumper for volume and smoothness</t>
        </is>
      </c>
      <c r="G13" s="3" t="inlineStr">
        <is>
          <t>Dry lips, lip lines, low lip hydration</t>
        </is>
      </c>
      <c r="H13" s="3" t="inlineStr">
        <is>
          <t>All</t>
        </is>
      </c>
      <c r="I13" s="3" t="inlineStr">
        <is>
          <t>AM/PM / as needed</t>
        </is>
      </c>
      <c r="J13" s="3" t="inlineStr">
        <is>
          <t>Avoid if lip irritation/active dermatitis</t>
        </is>
      </c>
      <c r="K13" s="3" t="inlineStr">
        <is>
          <t>If lip dryness or lip lines are visible, recommend ADAPTOGLOSS</t>
        </is>
      </c>
      <c r="L13" s="3" t="inlineStr">
        <is>
          <t>Lip care</t>
        </is>
      </c>
      <c r="M13" s="3" t="inlineStr">
        <is>
          <t>High</t>
        </is>
      </c>
      <c r="N13" s="3" t="inlineStr">
        <is>
          <t>Official collection page</t>
        </is>
      </c>
      <c r="O13" s="4" t="inlineStr">
        <is>
          <t>https://www.younggoose.com/collections/all</t>
        </is>
      </c>
      <c r="P13" s="3" t="inlineStr"/>
      <c r="Q13" s="11" t="n"/>
      <c r="R13" s="11" t="n"/>
      <c r="S13" s="11" t="n"/>
      <c r="T13" s="12" t="inlineStr">
        <is>
          <t>Unknown</t>
        </is>
      </c>
      <c r="U13" s="11" t="n"/>
      <c r="V13" s="11" t="n"/>
      <c r="W13" s="11" t="n"/>
      <c r="X13" s="11" t="n"/>
      <c r="Y13" s="17" t="inlineStr">
        <is>
          <t>CAUTION (provisional)</t>
        </is>
      </c>
      <c r="Z13" s="11" t="n"/>
      <c r="AA13" s="11" t="n"/>
      <c r="AB13" s="11" t="n"/>
      <c r="AC13" s="14" t="inlineStr">
        <is>
          <t>research_only</t>
        </is>
      </c>
      <c r="AD13" s="15" t="n"/>
      <c r="AE13" s="14" t="n">
        <v>7</v>
      </c>
    </row>
    <row r="14" ht="42" customHeight="1">
      <c r="A14" s="2" t="n">
        <v>1</v>
      </c>
      <c r="B14" s="3" t="inlineStr">
        <is>
          <t>Young Goose</t>
        </is>
      </c>
      <c r="C14" s="3" t="inlineStr">
        <is>
          <t>BIO-C PEPTIDE SPRAY</t>
        </is>
      </c>
      <c r="D14" s="3" t="inlineStr">
        <is>
          <t>Hydrating &amp; Toning Peptide Mist</t>
        </is>
      </c>
      <c r="E14" s="3" t="inlineStr">
        <is>
          <t>Mist / Peptide Support</t>
        </is>
      </c>
      <c r="F14" s="3" t="inlineStr">
        <is>
          <t>Hydrating and toning peptide mist</t>
        </is>
      </c>
      <c r="G14" s="3" t="inlineStr">
        <is>
          <t>Dehydration, dullness, tone support</t>
        </is>
      </c>
      <c r="H14" s="3" t="inlineStr">
        <is>
          <t>All</t>
        </is>
      </c>
      <c r="I14" s="3" t="inlineStr">
        <is>
          <t>AM/PM</t>
        </is>
      </c>
      <c r="J14" s="3" t="inlineStr">
        <is>
          <t>Patch test if reactive</t>
        </is>
      </c>
      <c r="K14" s="3" t="inlineStr">
        <is>
          <t>If dehydration + tone support needed, recommend BIO-C PEPTIDE SPRAY</t>
        </is>
      </c>
      <c r="L14" s="3" t="inlineStr">
        <is>
          <t>Hydrating mist</t>
        </is>
      </c>
      <c r="M14" s="3" t="inlineStr">
        <is>
          <t>High</t>
        </is>
      </c>
      <c r="N14" s="3" t="inlineStr">
        <is>
          <t>Official collection page</t>
        </is>
      </c>
      <c r="O14" s="4" t="inlineStr">
        <is>
          <t>https://www.younggoose.com/collections/all</t>
        </is>
      </c>
      <c r="P14" s="3" t="inlineStr"/>
      <c r="Q14" s="11" t="n"/>
      <c r="R14" s="11" t="n"/>
      <c r="S14" s="11" t="n"/>
      <c r="T14" s="12" t="inlineStr">
        <is>
          <t>Unknown</t>
        </is>
      </c>
      <c r="U14" s="11" t="n"/>
      <c r="V14" s="11" t="n"/>
      <c r="W14" s="11" t="n"/>
      <c r="X14" s="11" t="n"/>
      <c r="Y14" s="13" t="inlineStr">
        <is>
          <t>Not reviewed</t>
        </is>
      </c>
      <c r="Z14" s="11" t="n"/>
      <c r="AA14" s="11" t="n"/>
      <c r="AB14" s="11" t="n"/>
      <c r="AC14" s="14" t="inlineStr">
        <is>
          <t>research_only</t>
        </is>
      </c>
      <c r="AD14" s="15" t="n"/>
      <c r="AE14" s="14" t="n">
        <v>7</v>
      </c>
    </row>
    <row r="15" ht="42" customHeight="1">
      <c r="A15" s="2" t="n">
        <v>1</v>
      </c>
      <c r="B15" s="3" t="inlineStr">
        <is>
          <t>Young Goose</t>
        </is>
      </c>
      <c r="C15" s="3" t="inlineStr">
        <is>
          <t>YOUTH FIRMING BODY CREAM</t>
        </is>
      </c>
      <c r="D15" s="3" t="inlineStr">
        <is>
          <t>NAD+ Powered Body Renewal</t>
        </is>
      </c>
      <c r="E15" s="3" t="inlineStr">
        <is>
          <t>Body Cream</t>
        </is>
      </c>
      <c r="F15" s="3" t="inlineStr">
        <is>
          <t>NAD+ powered body renewal</t>
        </is>
      </c>
      <c r="G15" s="3" t="inlineStr">
        <is>
          <t>Body crepiness, dryness, aging skin on body</t>
        </is>
      </c>
      <c r="H15" s="3" t="inlineStr">
        <is>
          <t>Dry, mature, normal</t>
        </is>
      </c>
      <c r="I15" s="3" t="inlineStr">
        <is>
          <t>Daily body care</t>
        </is>
      </c>
      <c r="J15" s="3" t="inlineStr">
        <is>
          <t>Avoid broken/irritated skin</t>
        </is>
      </c>
      <c r="K15" s="3" t="inlineStr">
        <is>
          <t>If body skin aging/dryness is a concern, recommend YOUTH FIRMING BODY CREAM</t>
        </is>
      </c>
      <c r="L15" s="3" t="inlineStr">
        <is>
          <t>Body moisturizer</t>
        </is>
      </c>
      <c r="M15" s="3" t="inlineStr">
        <is>
          <t>High</t>
        </is>
      </c>
      <c r="N15" s="3" t="inlineStr">
        <is>
          <t>Official collection page</t>
        </is>
      </c>
      <c r="O15" s="4" t="inlineStr">
        <is>
          <t>https://www.younggoose.com/collections/all</t>
        </is>
      </c>
      <c r="P15" s="3" t="inlineStr"/>
      <c r="Q15" s="11" t="n"/>
      <c r="R15" s="11" t="n"/>
      <c r="S15" s="11" t="n"/>
      <c r="T15" s="12" t="inlineStr">
        <is>
          <t>Unknown</t>
        </is>
      </c>
      <c r="U15" s="11" t="n"/>
      <c r="V15" s="11" t="n"/>
      <c r="W15" s="11" t="n"/>
      <c r="X15" s="11" t="n"/>
      <c r="Y15" s="13" t="inlineStr">
        <is>
          <t>Not reviewed</t>
        </is>
      </c>
      <c r="Z15" s="11" t="n"/>
      <c r="AA15" s="11" t="n"/>
      <c r="AB15" s="11" t="n"/>
      <c r="AC15" s="14" t="inlineStr">
        <is>
          <t>research_only</t>
        </is>
      </c>
      <c r="AD15" s="15" t="n"/>
      <c r="AE15" s="14" t="n">
        <v>7</v>
      </c>
    </row>
    <row r="16" ht="42" customHeight="1">
      <c r="A16" s="2" t="n">
        <v>1</v>
      </c>
      <c r="B16" s="3" t="inlineStr">
        <is>
          <t>Young Goose</t>
        </is>
      </c>
      <c r="C16" s="3" t="inlineStr">
        <is>
          <t>AMPLIFYING ESSENCE</t>
        </is>
      </c>
      <c r="D16" s="3" t="inlineStr">
        <is>
          <t>Hydration-Enhancing Essence</t>
        </is>
      </c>
      <c r="E16" s="3" t="inlineStr">
        <is>
          <t>Essence</t>
        </is>
      </c>
      <c r="F16" s="3" t="inlineStr">
        <is>
          <t>Hydration-enhancing essence</t>
        </is>
      </c>
      <c r="G16" s="3" t="inlineStr">
        <is>
          <t>Dehydration, dullness, product absorption support</t>
        </is>
      </c>
      <c r="H16" s="3" t="inlineStr">
        <is>
          <t>Dry, normal, combination</t>
        </is>
      </c>
      <c r="I16" s="3" t="inlineStr">
        <is>
          <t>AM/PM after cleanse</t>
        </is>
      </c>
      <c r="J16" s="3" t="inlineStr">
        <is>
          <t>Patch test</t>
        </is>
      </c>
      <c r="K16" s="3" t="inlineStr">
        <is>
          <t>If hydration score is low but user wants lightweight layers, recommend AMPLIFYING ESSENCE</t>
        </is>
      </c>
      <c r="L16" s="3" t="inlineStr">
        <is>
          <t>Essence</t>
        </is>
      </c>
      <c r="M16" s="3" t="inlineStr">
        <is>
          <t>High</t>
        </is>
      </c>
      <c r="N16" s="3" t="inlineStr">
        <is>
          <t>Official collection page</t>
        </is>
      </c>
      <c r="O16" s="4" t="inlineStr">
        <is>
          <t>https://www.younggoose.com/collections/all</t>
        </is>
      </c>
      <c r="P16" s="3" t="inlineStr"/>
      <c r="Q16" s="11" t="n"/>
      <c r="R16" s="11" t="n"/>
      <c r="S16" s="11" t="n"/>
      <c r="T16" s="12" t="inlineStr">
        <is>
          <t>Unknown</t>
        </is>
      </c>
      <c r="U16" s="11" t="n"/>
      <c r="V16" s="11" t="n"/>
      <c r="W16" s="11" t="n"/>
      <c r="X16" s="11" t="n"/>
      <c r="Y16" s="13" t="inlineStr">
        <is>
          <t>Not reviewed</t>
        </is>
      </c>
      <c r="Z16" s="11" t="n"/>
      <c r="AA16" s="11" t="n"/>
      <c r="AB16" s="11" t="n"/>
      <c r="AC16" s="14" t="inlineStr">
        <is>
          <t>research_only</t>
        </is>
      </c>
      <c r="AD16" s="15" t="n"/>
      <c r="AE16" s="14" t="n">
        <v>7</v>
      </c>
    </row>
    <row r="17" ht="42" customHeight="1">
      <c r="A17" s="2" t="n">
        <v>1</v>
      </c>
      <c r="B17" s="3" t="inlineStr">
        <is>
          <t>Young Goose</t>
        </is>
      </c>
      <c r="C17" s="3" t="inlineStr">
        <is>
          <t>BIO-BARRIER</t>
        </is>
      </c>
      <c r="D17" s="3" t="inlineStr">
        <is>
          <t>Redness-Reducing Repair Serum</t>
        </is>
      </c>
      <c r="E17" s="3" t="inlineStr">
        <is>
          <t>Barrier Serum</t>
        </is>
      </c>
      <c r="F17" s="3" t="inlineStr">
        <is>
          <t>Redness-reducing repair serum</t>
        </is>
      </c>
      <c r="G17" s="3" t="inlineStr">
        <is>
          <t>Redness, reactivity, barrier stress, inflammation</t>
        </is>
      </c>
      <c r="H17" s="3" t="inlineStr">
        <is>
          <t>Sensitive, reactive, dry</t>
        </is>
      </c>
      <c r="I17" s="3" t="inlineStr">
        <is>
          <t>AM/PM</t>
        </is>
      </c>
      <c r="J17" s="3" t="inlineStr">
        <is>
          <t>Patch test; avoid excess actives during flare</t>
        </is>
      </c>
      <c r="K17" s="3" t="inlineStr">
        <is>
          <t>If inflammation/redness/barrier stress is high, recommend BIO-BARRIER</t>
        </is>
      </c>
      <c r="L17" s="3" t="inlineStr">
        <is>
          <t>Barrier serum</t>
        </is>
      </c>
      <c r="M17" s="3" t="inlineStr">
        <is>
          <t>High</t>
        </is>
      </c>
      <c r="N17" s="3" t="inlineStr">
        <is>
          <t>Official collection page</t>
        </is>
      </c>
      <c r="O17" s="4" t="inlineStr">
        <is>
          <t>https://www.younggoose.com/collections/all</t>
        </is>
      </c>
      <c r="P17" s="3" t="inlineStr"/>
      <c r="Q17" s="11" t="n"/>
      <c r="R17" s="11" t="n"/>
      <c r="S17" s="11" t="n"/>
      <c r="T17" s="12" t="inlineStr">
        <is>
          <t>Unknown</t>
        </is>
      </c>
      <c r="U17" s="11" t="n"/>
      <c r="V17" s="11" t="n"/>
      <c r="W17" s="11" t="n"/>
      <c r="X17" s="11" t="n"/>
      <c r="Y17" s="13" t="inlineStr">
        <is>
          <t>Not reviewed</t>
        </is>
      </c>
      <c r="Z17" s="11" t="n"/>
      <c r="AA17" s="11" t="n"/>
      <c r="AB17" s="11" t="n"/>
      <c r="AC17" s="14" t="inlineStr">
        <is>
          <t>research_only</t>
        </is>
      </c>
      <c r="AD17" s="15" t="n"/>
      <c r="AE17" s="14" t="n">
        <v>7</v>
      </c>
    </row>
    <row r="18" ht="42" customHeight="1">
      <c r="A18" s="2" t="n">
        <v>1</v>
      </c>
      <c r="B18" s="3" t="inlineStr">
        <is>
          <t>Young Goose</t>
        </is>
      </c>
      <c r="C18" s="3" t="inlineStr">
        <is>
          <t>NIAPOLISH</t>
        </is>
      </c>
      <c r="D18" s="3" t="inlineStr">
        <is>
          <t>Brightening &amp; Smoothing Exfoliator</t>
        </is>
      </c>
      <c r="E18" s="3" t="inlineStr">
        <is>
          <t>Exfoliant</t>
        </is>
      </c>
      <c r="F18" s="3" t="inlineStr">
        <is>
          <t>Brightening and smoothing exfoliator</t>
        </is>
      </c>
      <c r="G18" s="3" t="inlineStr">
        <is>
          <t>Texture, dullness, pigmentation, clogged pores</t>
        </is>
      </c>
      <c r="H18" s="3" t="inlineStr">
        <is>
          <t>Normal, oily, combination</t>
        </is>
      </c>
      <c r="I18" s="3" t="inlineStr">
        <is>
          <t>1–2x/week PM</t>
        </is>
      </c>
      <c r="J18" s="3" t="inlineStr">
        <is>
          <t>Avoid overuse; caution with sensitive/rosacea/barrier damage</t>
        </is>
      </c>
      <c r="K18" s="3" t="inlineStr">
        <is>
          <t>If texture + dullness + pores are high and sensitivity is low, recommend NIAPOLISH</t>
        </is>
      </c>
      <c r="L18" s="3" t="inlineStr">
        <is>
          <t>Exfoliation</t>
        </is>
      </c>
      <c r="M18" s="3" t="inlineStr">
        <is>
          <t>High</t>
        </is>
      </c>
      <c r="N18" s="3" t="inlineStr">
        <is>
          <t>Official collection page</t>
        </is>
      </c>
      <c r="O18" s="4" t="inlineStr">
        <is>
          <t>https://www.younggoose.com/collections/all</t>
        </is>
      </c>
      <c r="P18" s="3" t="inlineStr"/>
      <c r="Q18" s="11" t="n"/>
      <c r="R18" s="11" t="n"/>
      <c r="S18" s="11" t="n"/>
      <c r="T18" s="12" t="inlineStr">
        <is>
          <t>Unknown</t>
        </is>
      </c>
      <c r="U18" s="11" t="n"/>
      <c r="V18" s="11" t="n"/>
      <c r="W18" s="11" t="n"/>
      <c r="X18" s="11" t="n"/>
      <c r="Y18" s="17" t="inlineStr">
        <is>
          <t>CAUTION (provisional)</t>
        </is>
      </c>
      <c r="Z18" s="11" t="n"/>
      <c r="AA18" s="11" t="n"/>
      <c r="AB18" s="11" t="n"/>
      <c r="AC18" s="14" t="inlineStr">
        <is>
          <t>research_only</t>
        </is>
      </c>
      <c r="AD18" s="15" t="n"/>
      <c r="AE18" s="14" t="n">
        <v>7</v>
      </c>
    </row>
    <row r="19" ht="42" customHeight="1">
      <c r="A19" s="2" t="n">
        <v>1</v>
      </c>
      <c r="B19" s="3" t="inlineStr">
        <is>
          <t>Young Goose</t>
        </is>
      </c>
      <c r="C19" s="3" t="inlineStr">
        <is>
          <t>BLUE PEPTIDE SPRAY 15 mL</t>
        </is>
      </c>
      <c r="D19" s="3" t="inlineStr">
        <is>
          <t>Travel Peptide Mist</t>
        </is>
      </c>
      <c r="E19" s="3" t="inlineStr">
        <is>
          <t>Mist / Travel</t>
        </is>
      </c>
      <c r="F19" s="3" t="inlineStr">
        <is>
          <t>Travel size blue peptide spray</t>
        </is>
      </c>
      <c r="G19" s="3" t="inlineStr">
        <is>
          <t>Travel dryness, skin fatigue</t>
        </is>
      </c>
      <c r="H19" s="3" t="inlineStr">
        <is>
          <t>All</t>
        </is>
      </c>
      <c r="I19" s="3" t="inlineStr">
        <is>
          <t>Travel / AM/PM</t>
        </is>
      </c>
      <c r="J19" s="3" t="inlineStr">
        <is>
          <t>Patch test</t>
        </is>
      </c>
      <c r="K19" s="3" t="inlineStr">
        <is>
          <t>Recommend as travel-size version of BLUE PEPTIDE SPRAY</t>
        </is>
      </c>
      <c r="L19" s="3" t="inlineStr">
        <is>
          <t>Travel care</t>
        </is>
      </c>
      <c r="M19" s="3" t="inlineStr">
        <is>
          <t>Medium</t>
        </is>
      </c>
      <c r="N19" s="3" t="inlineStr">
        <is>
          <t>Official collection page</t>
        </is>
      </c>
      <c r="O19" s="4" t="inlineStr">
        <is>
          <t>https://www.younggoose.com/collections/all</t>
        </is>
      </c>
      <c r="P19" s="3" t="inlineStr"/>
      <c r="Q19" s="11" t="n"/>
      <c r="R19" s="11" t="n"/>
      <c r="S19" s="11" t="n"/>
      <c r="T19" s="12" t="inlineStr">
        <is>
          <t>Unknown</t>
        </is>
      </c>
      <c r="U19" s="11" t="n"/>
      <c r="V19" s="11" t="n"/>
      <c r="W19" s="11" t="n"/>
      <c r="X19" s="11" t="n"/>
      <c r="Y19" s="13" t="inlineStr">
        <is>
          <t>Not reviewed</t>
        </is>
      </c>
      <c r="Z19" s="11" t="n"/>
      <c r="AA19" s="11" t="n"/>
      <c r="AB19" s="11" t="n"/>
      <c r="AC19" s="14" t="inlineStr">
        <is>
          <t>research_only</t>
        </is>
      </c>
      <c r="AD19" s="15" t="n"/>
      <c r="AE19" s="14" t="n">
        <v>5</v>
      </c>
    </row>
    <row r="20" ht="42" customHeight="1">
      <c r="A20" s="2" t="n">
        <v>1</v>
      </c>
      <c r="B20" s="3" t="inlineStr">
        <is>
          <t>Young Goose</t>
        </is>
      </c>
      <c r="C20" s="3" t="inlineStr">
        <is>
          <t>TRAVEL SIZE BIO-C PEPTIDE SPRAY</t>
        </is>
      </c>
      <c r="D20" s="3" t="inlineStr">
        <is>
          <t>Travel Hydrating Peptide Mist</t>
        </is>
      </c>
      <c r="E20" s="3" t="inlineStr">
        <is>
          <t>Mist / Travel</t>
        </is>
      </c>
      <c r="F20" s="3" t="inlineStr">
        <is>
          <t>Travel size hydrating peptide mist</t>
        </is>
      </c>
      <c r="G20" s="3" t="inlineStr">
        <is>
          <t>Travel dehydration, dullness</t>
        </is>
      </c>
      <c r="H20" s="3" t="inlineStr">
        <is>
          <t>All</t>
        </is>
      </c>
      <c r="I20" s="3" t="inlineStr">
        <is>
          <t>Travel / AM/PM</t>
        </is>
      </c>
      <c r="J20" s="3" t="inlineStr">
        <is>
          <t>Patch test</t>
        </is>
      </c>
      <c r="K20" s="3" t="inlineStr">
        <is>
          <t>Recommend as travel-size version of BIO-C PEPTIDE SPRAY</t>
        </is>
      </c>
      <c r="L20" s="3" t="inlineStr">
        <is>
          <t>Travel care</t>
        </is>
      </c>
      <c r="M20" s="3" t="inlineStr">
        <is>
          <t>Medium</t>
        </is>
      </c>
      <c r="N20" s="3" t="inlineStr">
        <is>
          <t>Official collection page</t>
        </is>
      </c>
      <c r="O20" s="4" t="inlineStr">
        <is>
          <t>https://www.younggoose.com/collections/all</t>
        </is>
      </c>
      <c r="P20" s="3" t="inlineStr"/>
      <c r="Q20" s="11" t="n"/>
      <c r="R20" s="11" t="n"/>
      <c r="S20" s="11" t="n"/>
      <c r="T20" s="12" t="inlineStr">
        <is>
          <t>Unknown</t>
        </is>
      </c>
      <c r="U20" s="11" t="n"/>
      <c r="V20" s="11" t="n"/>
      <c r="W20" s="11" t="n"/>
      <c r="X20" s="11" t="n"/>
      <c r="Y20" s="13" t="inlineStr">
        <is>
          <t>Not reviewed</t>
        </is>
      </c>
      <c r="Z20" s="11" t="n"/>
      <c r="AA20" s="11" t="n"/>
      <c r="AB20" s="11" t="n"/>
      <c r="AC20" s="14" t="inlineStr">
        <is>
          <t>research_only</t>
        </is>
      </c>
      <c r="AD20" s="15" t="n"/>
      <c r="AE20" s="14" t="n">
        <v>5</v>
      </c>
    </row>
    <row r="21" ht="42" customHeight="1">
      <c r="A21" s="2" t="n">
        <v>1</v>
      </c>
      <c r="B21" s="3" t="inlineStr">
        <is>
          <t>Young Goose</t>
        </is>
      </c>
      <c r="C21" s="3" t="inlineStr">
        <is>
          <t>CELLULAR DUO: NAD+ SPERMIDINE SKIN &amp; SUPPLEMENT SYSTEM</t>
        </is>
      </c>
      <c r="D21" s="3" t="inlineStr">
        <is>
          <t>Bundle/System</t>
        </is>
      </c>
      <c r="E21" s="3" t="inlineStr">
        <is>
          <t>Longevity System</t>
        </is>
      </c>
      <c r="F21" s="3" t="inlineStr">
        <is>
          <t>NAD+ + spermidine skin and supplement system</t>
        </is>
      </c>
      <c r="G21" s="3" t="inlineStr">
        <is>
          <t>Advanced longevity, skin age optimization, whole-system support</t>
        </is>
      </c>
      <c r="H21" s="3" t="inlineStr">
        <is>
          <t>Mature, longevity-focused</t>
        </is>
      </c>
      <c r="I21" s="3" t="inlineStr">
        <is>
          <t>Per system directions</t>
        </is>
      </c>
      <c r="J21" s="3" t="inlineStr">
        <is>
          <t>Supplement cautions apply; check contraindications</t>
        </is>
      </c>
      <c r="K21" s="3" t="inlineStr">
        <is>
          <t>If user wants advanced inside-out skin longevity, recommend Cellular Duo</t>
        </is>
      </c>
      <c r="L21" s="3" t="inlineStr">
        <is>
          <t>System</t>
        </is>
      </c>
      <c r="M21" s="3" t="inlineStr">
        <is>
          <t>High</t>
        </is>
      </c>
      <c r="N21" s="3" t="inlineStr">
        <is>
          <t>Official collection page</t>
        </is>
      </c>
      <c r="O21" s="4" t="inlineStr">
        <is>
          <t>https://www.younggoose.com/collections/all</t>
        </is>
      </c>
      <c r="P21" s="3" t="inlineStr"/>
      <c r="Q21" s="11" t="n"/>
      <c r="R21" s="11" t="n"/>
      <c r="S21" s="11" t="n"/>
      <c r="T21" s="12" t="inlineStr">
        <is>
          <t>Unknown</t>
        </is>
      </c>
      <c r="U21" s="11" t="n"/>
      <c r="V21" s="11" t="n"/>
      <c r="W21" s="11" t="n"/>
      <c r="X21" s="11" t="n"/>
      <c r="Y21" s="13" t="inlineStr">
        <is>
          <t>Not reviewed</t>
        </is>
      </c>
      <c r="Z21" s="11" t="n"/>
      <c r="AA21" s="11" t="n"/>
      <c r="AB21" s="11" t="n"/>
      <c r="AC21" s="14" t="inlineStr">
        <is>
          <t>research_only</t>
        </is>
      </c>
      <c r="AD21" s="15" t="n"/>
      <c r="AE21" s="14" t="n">
        <v>4</v>
      </c>
    </row>
    <row r="22" ht="42" customHeight="1">
      <c r="A22" s="2" t="n">
        <v>1</v>
      </c>
      <c r="B22" s="3" t="inlineStr">
        <is>
          <t>Young Goose</t>
        </is>
      </c>
      <c r="C22" s="3" t="inlineStr">
        <is>
          <t>MINIMAL BIOHACK AGING SYSTEM</t>
        </is>
      </c>
      <c r="D22" s="3" t="inlineStr">
        <is>
          <t>Bundle/System</t>
        </is>
      </c>
      <c r="E22" s="3" t="inlineStr">
        <is>
          <t>Aging System</t>
        </is>
      </c>
      <c r="F22" s="3" t="inlineStr">
        <is>
          <t>Minimal aging protocol system</t>
        </is>
      </c>
      <c r="G22" s="3" t="inlineStr">
        <is>
          <t>Early aging, prevention, simplified routine</t>
        </is>
      </c>
      <c r="H22" s="3" t="inlineStr">
        <is>
          <t>All</t>
        </is>
      </c>
      <c r="I22" s="3" t="inlineStr">
        <is>
          <t>System routine</t>
        </is>
      </c>
      <c r="J22" s="3" t="inlineStr">
        <is>
          <t>Avoid duplicate actives if already using strong treatments</t>
        </is>
      </c>
      <c r="K22" s="3" t="inlineStr">
        <is>
          <t>If user wants simple anti-aging bundle, recommend Minimal Biohack Aging System</t>
        </is>
      </c>
      <c r="L22" s="3" t="inlineStr">
        <is>
          <t>System</t>
        </is>
      </c>
      <c r="M22" s="3" t="inlineStr">
        <is>
          <t>High</t>
        </is>
      </c>
      <c r="N22" s="3" t="inlineStr">
        <is>
          <t>Official collection page</t>
        </is>
      </c>
      <c r="O22" s="4" t="inlineStr">
        <is>
          <t>https://www.younggoose.com/collections/all</t>
        </is>
      </c>
      <c r="P22" s="3" t="inlineStr"/>
      <c r="Q22" s="11" t="n"/>
      <c r="R22" s="11" t="n"/>
      <c r="S22" s="11" t="n"/>
      <c r="T22" s="12" t="inlineStr">
        <is>
          <t>Unknown</t>
        </is>
      </c>
      <c r="U22" s="11" t="n"/>
      <c r="V22" s="11" t="n"/>
      <c r="W22" s="11" t="n"/>
      <c r="X22" s="11" t="n"/>
      <c r="Y22" s="13" t="inlineStr">
        <is>
          <t>Not reviewed</t>
        </is>
      </c>
      <c r="Z22" s="11" t="n"/>
      <c r="AA22" s="11" t="n"/>
      <c r="AB22" s="11" t="n"/>
      <c r="AC22" s="14" t="inlineStr">
        <is>
          <t>research_only</t>
        </is>
      </c>
      <c r="AD22" s="15" t="n"/>
      <c r="AE22" s="14" t="n">
        <v>4</v>
      </c>
    </row>
    <row r="23" ht="42" customHeight="1">
      <c r="A23" s="2" t="n">
        <v>1</v>
      </c>
      <c r="B23" s="3" t="inlineStr">
        <is>
          <t>Young Goose</t>
        </is>
      </c>
      <c r="C23" s="3" t="inlineStr">
        <is>
          <t>STANDARD AGING SYSTEM</t>
        </is>
      </c>
      <c r="D23" s="3" t="inlineStr">
        <is>
          <t>Bundle/System</t>
        </is>
      </c>
      <c r="E23" s="3" t="inlineStr">
        <is>
          <t>Aging System</t>
        </is>
      </c>
      <c r="F23" s="3" t="inlineStr">
        <is>
          <t>Targets skin biological age</t>
        </is>
      </c>
      <c r="G23" s="3" t="inlineStr">
        <is>
          <t>Moderate aging markers, fine lines, dullness</t>
        </is>
      </c>
      <c r="H23" s="3" t="inlineStr">
        <is>
          <t>Normal, dry, mature</t>
        </is>
      </c>
      <c r="I23" s="3" t="inlineStr">
        <is>
          <t>System routine</t>
        </is>
      </c>
      <c r="J23" s="3" t="inlineStr">
        <is>
          <t>Cost/high product load; introduce gradually</t>
        </is>
      </c>
      <c r="K23" s="3" t="inlineStr">
        <is>
          <t>If multiple aging markers are present, recommend Standard Aging System</t>
        </is>
      </c>
      <c r="L23" s="3" t="inlineStr">
        <is>
          <t>System</t>
        </is>
      </c>
      <c r="M23" s="3" t="inlineStr">
        <is>
          <t>High</t>
        </is>
      </c>
      <c r="N23" s="3" t="inlineStr">
        <is>
          <t>Official collection page</t>
        </is>
      </c>
      <c r="O23" s="4" t="inlineStr">
        <is>
          <t>https://www.younggoose.com/collections/all</t>
        </is>
      </c>
      <c r="P23" s="3" t="inlineStr"/>
      <c r="Q23" s="11" t="n"/>
      <c r="R23" s="11" t="n"/>
      <c r="S23" s="11" t="n"/>
      <c r="T23" s="12" t="inlineStr">
        <is>
          <t>Unknown</t>
        </is>
      </c>
      <c r="U23" s="11" t="n"/>
      <c r="V23" s="11" t="n"/>
      <c r="W23" s="11" t="n"/>
      <c r="X23" s="11" t="n"/>
      <c r="Y23" s="13" t="inlineStr">
        <is>
          <t>Not reviewed</t>
        </is>
      </c>
      <c r="Z23" s="11" t="n"/>
      <c r="AA23" s="11" t="n"/>
      <c r="AB23" s="11" t="n"/>
      <c r="AC23" s="14" t="inlineStr">
        <is>
          <t>research_only</t>
        </is>
      </c>
      <c r="AD23" s="15" t="n"/>
      <c r="AE23" s="14" t="n">
        <v>4</v>
      </c>
    </row>
    <row r="24" ht="42" customHeight="1">
      <c r="A24" s="2" t="n">
        <v>1</v>
      </c>
      <c r="B24" s="3" t="inlineStr">
        <is>
          <t>Young Goose</t>
        </is>
      </c>
      <c r="C24" s="3" t="inlineStr">
        <is>
          <t>ADVANCED BIOHACK AGING SYSTEM</t>
        </is>
      </c>
      <c r="D24" s="3" t="inlineStr">
        <is>
          <t>Bundle/System</t>
        </is>
      </c>
      <c r="E24" s="3" t="inlineStr">
        <is>
          <t>Advanced Aging System</t>
        </is>
      </c>
      <c r="F24" s="3" t="inlineStr">
        <is>
          <t>Advanced aging protocol system</t>
        </is>
      </c>
      <c r="G24" s="3" t="inlineStr">
        <is>
          <t>Advanced aging, collagen loss, multiple skin concerns</t>
        </is>
      </c>
      <c r="H24" s="3" t="inlineStr">
        <is>
          <t>Mature, resilient</t>
        </is>
      </c>
      <c r="I24" s="3" t="inlineStr">
        <is>
          <t>System routine</t>
        </is>
      </c>
      <c r="J24" s="3" t="inlineStr">
        <is>
          <t>Introduce gradually; not for highly reactive skin without guidance</t>
        </is>
      </c>
      <c r="K24" s="3" t="inlineStr">
        <is>
          <t>If high budget + multiple aging markers + low sensitivity, recommend Advanced Biohack Aging System</t>
        </is>
      </c>
      <c r="L24" s="3" t="inlineStr">
        <is>
          <t>System</t>
        </is>
      </c>
      <c r="M24" s="3" t="inlineStr">
        <is>
          <t>High</t>
        </is>
      </c>
      <c r="N24" s="3" t="inlineStr">
        <is>
          <t>Official collection page</t>
        </is>
      </c>
      <c r="O24" s="4" t="inlineStr">
        <is>
          <t>https://www.younggoose.com/collections/all</t>
        </is>
      </c>
      <c r="P24" s="3" t="inlineStr"/>
      <c r="Q24" s="11" t="n"/>
      <c r="R24" s="11" t="n"/>
      <c r="S24" s="11" t="n"/>
      <c r="T24" s="12" t="inlineStr">
        <is>
          <t>Unknown</t>
        </is>
      </c>
      <c r="U24" s="11" t="n"/>
      <c r="V24" s="11" t="n"/>
      <c r="W24" s="11" t="n"/>
      <c r="X24" s="11" t="n"/>
      <c r="Y24" s="13" t="inlineStr">
        <is>
          <t>Not reviewed</t>
        </is>
      </c>
      <c r="Z24" s="11" t="n"/>
      <c r="AA24" s="11" t="n"/>
      <c r="AB24" s="11" t="n"/>
      <c r="AC24" s="14" t="inlineStr">
        <is>
          <t>research_only</t>
        </is>
      </c>
      <c r="AD24" s="15" t="n"/>
      <c r="AE24" s="14" t="n">
        <v>4</v>
      </c>
    </row>
    <row r="25" ht="42" customHeight="1">
      <c r="A25" s="2" t="n">
        <v>1</v>
      </c>
      <c r="B25" s="3" t="inlineStr">
        <is>
          <t>Young Goose</t>
        </is>
      </c>
      <c r="C25" s="3" t="inlineStr">
        <is>
          <t>MINIMAL BIOHACK HYDRATION SYSTEM</t>
        </is>
      </c>
      <c r="D25" s="3" t="inlineStr">
        <is>
          <t>Bundle/System</t>
        </is>
      </c>
      <c r="E25" s="3" t="inlineStr">
        <is>
          <t>Hydration System</t>
        </is>
      </c>
      <c r="F25" s="3" t="inlineStr">
        <is>
          <t>Minimal hydration protocol system</t>
        </is>
      </c>
      <c r="G25" s="3" t="inlineStr">
        <is>
          <t>Mild dehydration, barrier stress</t>
        </is>
      </c>
      <c r="H25" s="3" t="inlineStr">
        <is>
          <t>Dry, normal, combination</t>
        </is>
      </c>
      <c r="I25" s="3" t="inlineStr">
        <is>
          <t>System routine</t>
        </is>
      </c>
      <c r="J25" s="3" t="inlineStr">
        <is>
          <t>Avoid over-layering if acne-prone</t>
        </is>
      </c>
      <c r="K25" s="3" t="inlineStr">
        <is>
          <t>If hydration score is low and routine should stay simple, recommend Minimal Hydration System</t>
        </is>
      </c>
      <c r="L25" s="3" t="inlineStr">
        <is>
          <t>System</t>
        </is>
      </c>
      <c r="M25" s="3" t="inlineStr">
        <is>
          <t>High</t>
        </is>
      </c>
      <c r="N25" s="3" t="inlineStr">
        <is>
          <t>Official collection page</t>
        </is>
      </c>
      <c r="O25" s="4" t="inlineStr">
        <is>
          <t>https://www.younggoose.com/collections/all</t>
        </is>
      </c>
      <c r="P25" s="3" t="inlineStr"/>
      <c r="Q25" s="11" t="n"/>
      <c r="R25" s="11" t="n"/>
      <c r="S25" s="11" t="n"/>
      <c r="T25" s="12" t="inlineStr">
        <is>
          <t>Unknown</t>
        </is>
      </c>
      <c r="U25" s="11" t="n"/>
      <c r="V25" s="11" t="n"/>
      <c r="W25" s="11" t="n"/>
      <c r="X25" s="11" t="n"/>
      <c r="Y25" s="13" t="inlineStr">
        <is>
          <t>Not reviewed</t>
        </is>
      </c>
      <c r="Z25" s="11" t="n"/>
      <c r="AA25" s="11" t="n"/>
      <c r="AB25" s="11" t="n"/>
      <c r="AC25" s="14" t="inlineStr">
        <is>
          <t>research_only</t>
        </is>
      </c>
      <c r="AD25" s="15" t="n"/>
      <c r="AE25" s="14" t="n">
        <v>4</v>
      </c>
    </row>
    <row r="26" ht="42" customHeight="1">
      <c r="A26" s="2" t="n">
        <v>1</v>
      </c>
      <c r="B26" s="3" t="inlineStr">
        <is>
          <t>Young Goose</t>
        </is>
      </c>
      <c r="C26" s="3" t="inlineStr">
        <is>
          <t>STANDARD BIOHACK HYDRATION SYSTEM</t>
        </is>
      </c>
      <c r="D26" s="3" t="inlineStr">
        <is>
          <t>Bundle/System</t>
        </is>
      </c>
      <c r="E26" s="3" t="inlineStr">
        <is>
          <t>Hydration System</t>
        </is>
      </c>
      <c r="F26" s="3" t="inlineStr">
        <is>
          <t>Standard hydration protocol system</t>
        </is>
      </c>
      <c r="G26" s="3" t="inlineStr">
        <is>
          <t>Moderate dehydration, dullness, barrier stress</t>
        </is>
      </c>
      <c r="H26" s="3" t="inlineStr">
        <is>
          <t>Dry, normal, combination</t>
        </is>
      </c>
      <c r="I26" s="3" t="inlineStr">
        <is>
          <t>System routine</t>
        </is>
      </c>
      <c r="J26" s="3" t="inlineStr">
        <is>
          <t>Introduce gradually if sensitive</t>
        </is>
      </c>
      <c r="K26" s="3" t="inlineStr">
        <is>
          <t>If hydration + barrier support are top priorities, recommend Standard Hydration System</t>
        </is>
      </c>
      <c r="L26" s="3" t="inlineStr">
        <is>
          <t>System</t>
        </is>
      </c>
      <c r="M26" s="3" t="inlineStr">
        <is>
          <t>High</t>
        </is>
      </c>
      <c r="N26" s="3" t="inlineStr">
        <is>
          <t>Official collection page</t>
        </is>
      </c>
      <c r="O26" s="4" t="inlineStr">
        <is>
          <t>https://www.younggoose.com/collections/all</t>
        </is>
      </c>
      <c r="P26" s="3" t="inlineStr"/>
      <c r="Q26" s="11" t="n"/>
      <c r="R26" s="11" t="n"/>
      <c r="S26" s="11" t="n"/>
      <c r="T26" s="12" t="inlineStr">
        <is>
          <t>Unknown</t>
        </is>
      </c>
      <c r="U26" s="11" t="n"/>
      <c r="V26" s="11" t="n"/>
      <c r="W26" s="11" t="n"/>
      <c r="X26" s="11" t="n"/>
      <c r="Y26" s="13" t="inlineStr">
        <is>
          <t>Not reviewed</t>
        </is>
      </c>
      <c r="Z26" s="11" t="n"/>
      <c r="AA26" s="11" t="n"/>
      <c r="AB26" s="11" t="n"/>
      <c r="AC26" s="14" t="inlineStr">
        <is>
          <t>research_only</t>
        </is>
      </c>
      <c r="AD26" s="15" t="n"/>
      <c r="AE26" s="14" t="n">
        <v>4</v>
      </c>
    </row>
    <row r="27" ht="42" customHeight="1">
      <c r="A27" s="2" t="n">
        <v>1</v>
      </c>
      <c r="B27" s="3" t="inlineStr">
        <is>
          <t>Vitali</t>
        </is>
      </c>
      <c r="C27" s="3" t="inlineStr">
        <is>
          <t>2% GHK-Cu Skin Cell Restorative Serum</t>
        </is>
      </c>
      <c r="D27" s="3" t="inlineStr">
        <is>
          <t>Copper Peptide Serum</t>
        </is>
      </c>
      <c r="E27" s="3" t="inlineStr">
        <is>
          <t>Serum</t>
        </is>
      </c>
      <c r="F27" s="3" t="inlineStr">
        <is>
          <t>2% GHK-Cu copper peptide</t>
        </is>
      </c>
      <c r="G27" s="3" t="inlineStr">
        <is>
          <t>Fine lines, loss of firmness, redness, texture, barrier repair</t>
        </is>
      </c>
      <c r="H27" s="3" t="inlineStr">
        <is>
          <t>Aging, dry, sensitive, normal</t>
        </is>
      </c>
      <c r="I27" s="3" t="inlineStr">
        <is>
          <t>PM or as directed</t>
        </is>
      </c>
      <c r="J27" s="3" t="inlineStr">
        <is>
          <t>Patch test; avoid excessive layering with strong acids/retinoids</t>
        </is>
      </c>
      <c r="K27" s="3" t="inlineStr">
        <is>
          <t>If collagen support or redness/barrier repair is flagged, recommend 2% GHK-Cu serum</t>
        </is>
      </c>
      <c r="L27" s="3" t="inlineStr">
        <is>
          <t>Treatment serum</t>
        </is>
      </c>
      <c r="M27" s="3" t="inlineStr">
        <is>
          <t>High</t>
        </is>
      </c>
      <c r="N27" s="3" t="inlineStr">
        <is>
          <t>Official collection page</t>
        </is>
      </c>
      <c r="O27" s="4" t="inlineStr">
        <is>
          <t>https://www.vitaliskincare.com/collections/all</t>
        </is>
      </c>
      <c r="P27" s="3" t="inlineStr"/>
      <c r="Q27" s="11" t="n"/>
      <c r="R27" s="11" t="n"/>
      <c r="S27" s="11" t="n"/>
      <c r="T27" s="12" t="inlineStr">
        <is>
          <t>Unknown</t>
        </is>
      </c>
      <c r="U27" s="11" t="n"/>
      <c r="V27" s="11" t="n"/>
      <c r="W27" s="11" t="n"/>
      <c r="X27" s="11" t="n"/>
      <c r="Y27" s="13" t="inlineStr">
        <is>
          <t>Not reviewed</t>
        </is>
      </c>
      <c r="Z27" s="11" t="n"/>
      <c r="AA27" s="11" t="n"/>
      <c r="AB27" s="11" t="n"/>
      <c r="AC27" s="14" t="inlineStr">
        <is>
          <t>research_only</t>
        </is>
      </c>
      <c r="AD27" s="15" t="n"/>
      <c r="AE27" s="14" t="n">
        <v>7</v>
      </c>
    </row>
    <row r="28" ht="42" customHeight="1">
      <c r="A28" s="2" t="n">
        <v>1</v>
      </c>
      <c r="B28" s="3" t="inlineStr">
        <is>
          <t>Vitali</t>
        </is>
      </c>
      <c r="C28" s="3" t="inlineStr">
        <is>
          <t>3% GHK-Cu Skin Cell Restorative Serum (50% More GHK-Cu)</t>
        </is>
      </c>
      <c r="D28" s="3" t="inlineStr">
        <is>
          <t>High-Strength Copper Peptide Serum</t>
        </is>
      </c>
      <c r="E28" s="3" t="inlineStr">
        <is>
          <t>Serum</t>
        </is>
      </c>
      <c r="F28" s="3" t="inlineStr">
        <is>
          <t>3% GHK-Cu copper peptide</t>
        </is>
      </c>
      <c r="G28" s="3" t="inlineStr">
        <is>
          <t>Advanced aging, loss of firmness, post-treatment support</t>
        </is>
      </c>
      <c r="H28" s="3" t="inlineStr">
        <is>
          <t>Mature, resilient, experienced users</t>
        </is>
      </c>
      <c r="I28" s="3" t="inlineStr">
        <is>
          <t>PM or as directed</t>
        </is>
      </c>
      <c r="J28" s="3" t="inlineStr">
        <is>
          <t>Use cautiously if reactive; start slowly</t>
        </is>
      </c>
      <c r="K28" s="3" t="inlineStr">
        <is>
          <t>If advanced collagen/firmness support is needed and sensitivity is low, recommend 3% GHK-Cu serum</t>
        </is>
      </c>
      <c r="L28" s="3" t="inlineStr">
        <is>
          <t>Treatment serum</t>
        </is>
      </c>
      <c r="M28" s="3" t="inlineStr">
        <is>
          <t>High</t>
        </is>
      </c>
      <c r="N28" s="3" t="inlineStr">
        <is>
          <t>Official collection page</t>
        </is>
      </c>
      <c r="O28" s="4" t="inlineStr">
        <is>
          <t>https://www.vitaliskincare.com/collections/all</t>
        </is>
      </c>
      <c r="P28" s="3" t="inlineStr"/>
      <c r="Q28" s="11" t="n"/>
      <c r="R28" s="11" t="n"/>
      <c r="S28" s="11" t="n"/>
      <c r="T28" s="12" t="inlineStr">
        <is>
          <t>Unknown</t>
        </is>
      </c>
      <c r="U28" s="11" t="n"/>
      <c r="V28" s="11" t="n"/>
      <c r="W28" s="11" t="n"/>
      <c r="X28" s="11" t="n"/>
      <c r="Y28" s="13" t="inlineStr">
        <is>
          <t>Not reviewed</t>
        </is>
      </c>
      <c r="Z28" s="11" t="n"/>
      <c r="AA28" s="11" t="n"/>
      <c r="AB28" s="11" t="n"/>
      <c r="AC28" s="14" t="inlineStr">
        <is>
          <t>research_only</t>
        </is>
      </c>
      <c r="AD28" s="15" t="n"/>
      <c r="AE28" s="14" t="n">
        <v>7</v>
      </c>
    </row>
    <row r="29" ht="42" customHeight="1">
      <c r="A29" s="2" t="n">
        <v>1</v>
      </c>
      <c r="B29" s="3" t="inlineStr">
        <is>
          <t>Vitali</t>
        </is>
      </c>
      <c r="C29" s="3" t="inlineStr">
        <is>
          <t>Skin Awakening Moisturizer</t>
        </is>
      </c>
      <c r="D29" s="3" t="inlineStr">
        <is>
          <t>Copper Peptide Moisturizer</t>
        </is>
      </c>
      <c r="E29" s="3" t="inlineStr">
        <is>
          <t>Moisturizer</t>
        </is>
      </c>
      <c r="F29" s="3" t="inlineStr">
        <is>
          <t>GHK-Cu copper peptides; skin awakening moisturizer</t>
        </is>
      </c>
      <c r="G29" s="3" t="inlineStr">
        <is>
          <t>Barrier stress, dryness, redness, hydration support</t>
        </is>
      </c>
      <c r="H29" s="3" t="inlineStr">
        <is>
          <t>Dry, normal, sensitive</t>
        </is>
      </c>
      <c r="I29" s="3" t="inlineStr">
        <is>
          <t>AM/PM</t>
        </is>
      </c>
      <c r="J29" s="3" t="inlineStr">
        <is>
          <t>Patch test</t>
        </is>
      </c>
      <c r="K29" s="3" t="inlineStr">
        <is>
          <t>If barrier strength/hydration is low, pair with Vitali serum</t>
        </is>
      </c>
      <c r="L29" s="3" t="inlineStr">
        <is>
          <t>Moisturizer</t>
        </is>
      </c>
      <c r="M29" s="3" t="inlineStr">
        <is>
          <t>High</t>
        </is>
      </c>
      <c r="N29" s="3" t="inlineStr">
        <is>
          <t>Official copper collection</t>
        </is>
      </c>
      <c r="O29" s="4" t="inlineStr">
        <is>
          <t>https://www.vitaliskincare.com/collections/copper-peptide-collection</t>
        </is>
      </c>
      <c r="P29" s="3" t="inlineStr"/>
      <c r="Q29" s="11" t="n"/>
      <c r="R29" s="11" t="n"/>
      <c r="S29" s="11" t="n"/>
      <c r="T29" s="12" t="inlineStr">
        <is>
          <t>Unknown</t>
        </is>
      </c>
      <c r="U29" s="11" t="n"/>
      <c r="V29" s="11" t="n"/>
      <c r="W29" s="11" t="n"/>
      <c r="X29" s="11" t="n"/>
      <c r="Y29" s="13" t="inlineStr">
        <is>
          <t>Not reviewed</t>
        </is>
      </c>
      <c r="Z29" s="11" t="n"/>
      <c r="AA29" s="11" t="n"/>
      <c r="AB29" s="11" t="n"/>
      <c r="AC29" s="14" t="inlineStr">
        <is>
          <t>research_only</t>
        </is>
      </c>
      <c r="AD29" s="15" t="n"/>
      <c r="AE29" s="14" t="n">
        <v>7</v>
      </c>
    </row>
    <row r="30" ht="42" customHeight="1">
      <c r="A30" s="2" t="n">
        <v>1</v>
      </c>
      <c r="B30" s="3" t="inlineStr">
        <is>
          <t>Vitali</t>
        </is>
      </c>
      <c r="C30" s="3" t="inlineStr">
        <is>
          <t>Advanced Eye &amp; Lash Formula</t>
        </is>
      </c>
      <c r="D30" s="3" t="inlineStr">
        <is>
          <t>Eye/Lash Formula</t>
        </is>
      </c>
      <c r="E30" s="3" t="inlineStr">
        <is>
          <t>Eye Care</t>
        </is>
      </c>
      <c r="F30" s="3" t="inlineStr">
        <is>
          <t>Vitali eye and lash formula; copper peptide collection product</t>
        </is>
      </c>
      <c r="G30" s="3" t="inlineStr">
        <is>
          <t>Eye fine lines, lash support, eye-area aging</t>
        </is>
      </c>
      <c r="H30" s="3" t="inlineStr">
        <is>
          <t>All</t>
        </is>
      </c>
      <c r="I30" s="3" t="inlineStr">
        <is>
          <t>PM or as directed</t>
        </is>
      </c>
      <c r="J30" s="3" t="inlineStr">
        <is>
          <t>Avoid getting into eye</t>
        </is>
      </c>
      <c r="K30" s="3" t="inlineStr">
        <is>
          <t>If under-eye/lash support is requested, recommend Advanced Eye &amp; Lash Formula</t>
        </is>
      </c>
      <c r="L30" s="3" t="inlineStr">
        <is>
          <t>Eye/lash treatment</t>
        </is>
      </c>
      <c r="M30" s="3" t="inlineStr">
        <is>
          <t>High</t>
        </is>
      </c>
      <c r="N30" s="3" t="inlineStr">
        <is>
          <t>Official collection page</t>
        </is>
      </c>
      <c r="O30" s="4" t="inlineStr">
        <is>
          <t>https://www.vitaliskincare.com/collections/all</t>
        </is>
      </c>
      <c r="P30" s="3" t="inlineStr"/>
      <c r="Q30" s="11" t="n"/>
      <c r="R30" s="11" t="n"/>
      <c r="S30" s="11" t="n"/>
      <c r="T30" s="12" t="inlineStr">
        <is>
          <t>Unknown</t>
        </is>
      </c>
      <c r="U30" s="11" t="n"/>
      <c r="V30" s="11" t="n"/>
      <c r="W30" s="11" t="n"/>
      <c r="X30" s="11" t="n"/>
      <c r="Y30" s="13" t="inlineStr">
        <is>
          <t>Not reviewed</t>
        </is>
      </c>
      <c r="Z30" s="11" t="n"/>
      <c r="AA30" s="11" t="n"/>
      <c r="AB30" s="11" t="n"/>
      <c r="AC30" s="14" t="inlineStr">
        <is>
          <t>research_only</t>
        </is>
      </c>
      <c r="AD30" s="15" t="n"/>
      <c r="AE30" s="14" t="n">
        <v>7</v>
      </c>
    </row>
    <row r="31" ht="42" customHeight="1">
      <c r="A31" s="2" t="n">
        <v>1</v>
      </c>
      <c r="B31" s="3" t="inlineStr">
        <is>
          <t>Vitali</t>
        </is>
      </c>
      <c r="C31" s="3" t="inlineStr">
        <is>
          <t>Restorative Body Cream</t>
        </is>
      </c>
      <c r="D31" s="3" t="inlineStr">
        <is>
          <t>Copper Peptide Body Cream</t>
        </is>
      </c>
      <c r="E31" s="3" t="inlineStr">
        <is>
          <t>Body Cream</t>
        </is>
      </c>
      <c r="F31" s="3" t="inlineStr">
        <is>
          <t>Restorative body cream; copper peptide collection product</t>
        </is>
      </c>
      <c r="G31" s="3" t="inlineStr">
        <is>
          <t>Body crepiness, dryness, body aging</t>
        </is>
      </c>
      <c r="H31" s="3" t="inlineStr">
        <is>
          <t>Dry, mature, normal</t>
        </is>
      </c>
      <c r="I31" s="3" t="inlineStr">
        <is>
          <t>Daily body care</t>
        </is>
      </c>
      <c r="J31" s="3" t="inlineStr">
        <is>
          <t>Avoid broken skin</t>
        </is>
      </c>
      <c r="K31" s="3" t="inlineStr">
        <is>
          <t>If body skin aging/dryness is a concern, recommend Restorative Body Cream</t>
        </is>
      </c>
      <c r="L31" s="3" t="inlineStr">
        <is>
          <t>Body moisturizer</t>
        </is>
      </c>
      <c r="M31" s="3" t="inlineStr">
        <is>
          <t>High</t>
        </is>
      </c>
      <c r="N31" s="3" t="inlineStr">
        <is>
          <t>Official collection page</t>
        </is>
      </c>
      <c r="O31" s="4" t="inlineStr">
        <is>
          <t>https://www.vitaliskincare.com/collections/all</t>
        </is>
      </c>
      <c r="P31" s="3" t="inlineStr"/>
      <c r="Q31" s="11" t="n"/>
      <c r="R31" s="11" t="n"/>
      <c r="S31" s="11" t="n"/>
      <c r="T31" s="12" t="inlineStr">
        <is>
          <t>Unknown</t>
        </is>
      </c>
      <c r="U31" s="11" t="n"/>
      <c r="V31" s="11" t="n"/>
      <c r="W31" s="11" t="n"/>
      <c r="X31" s="11" t="n"/>
      <c r="Y31" s="13" t="inlineStr">
        <is>
          <t>Not reviewed</t>
        </is>
      </c>
      <c r="Z31" s="11" t="n"/>
      <c r="AA31" s="11" t="n"/>
      <c r="AB31" s="11" t="n"/>
      <c r="AC31" s="14" t="inlineStr">
        <is>
          <t>research_only</t>
        </is>
      </c>
      <c r="AD31" s="15" t="n"/>
      <c r="AE31" s="14" t="n">
        <v>7</v>
      </c>
    </row>
    <row r="32" ht="42" customHeight="1">
      <c r="A32" s="2" t="n">
        <v>1</v>
      </c>
      <c r="B32" s="3" t="inlineStr">
        <is>
          <t>Vitali</t>
        </is>
      </c>
      <c r="C32" s="3" t="inlineStr">
        <is>
          <t>Vita | Zero Age Exosome Complex</t>
        </is>
      </c>
      <c r="D32" s="3" t="inlineStr">
        <is>
          <t>Exosome Complex</t>
        </is>
      </c>
      <c r="E32" s="3" t="inlineStr">
        <is>
          <t>Advanced Regenerative Serum</t>
        </is>
      </c>
      <c r="F32" s="3" t="inlineStr">
        <is>
          <t>Exosome complex</t>
        </is>
      </c>
      <c r="G32" s="3" t="inlineStr">
        <is>
          <t>Advanced regenerative support, aging, texture, post-procedure care</t>
        </is>
      </c>
      <c r="H32" s="3" t="inlineStr">
        <is>
          <t>Mature, resilient, post-treatment</t>
        </is>
      </c>
      <c r="I32" s="3" t="inlineStr">
        <is>
          <t>PM or professional protocol</t>
        </is>
      </c>
      <c r="J32" s="3" t="inlineStr">
        <is>
          <t>Use professional guidance around procedures</t>
        </is>
      </c>
      <c r="K32" s="3" t="inlineStr">
        <is>
          <t>If exosome/regenerative category is needed, recommend Vita Zero Age Exosome Complex</t>
        </is>
      </c>
      <c r="L32" s="3" t="inlineStr">
        <is>
          <t>Advanced serum</t>
        </is>
      </c>
      <c r="M32" s="3" t="inlineStr">
        <is>
          <t>High</t>
        </is>
      </c>
      <c r="N32" s="3" t="inlineStr">
        <is>
          <t>Official collection page</t>
        </is>
      </c>
      <c r="O32" s="4" t="inlineStr">
        <is>
          <t>https://www.vitaliskincare.com/collections/all</t>
        </is>
      </c>
      <c r="P32" s="3" t="inlineStr"/>
      <c r="Q32" s="11" t="n"/>
      <c r="R32" s="11" t="n"/>
      <c r="S32" s="11" t="n"/>
      <c r="T32" s="12" t="inlineStr">
        <is>
          <t>Unknown</t>
        </is>
      </c>
      <c r="U32" s="11" t="n"/>
      <c r="V32" s="11" t="n"/>
      <c r="W32" s="11" t="n"/>
      <c r="X32" s="11" t="n"/>
      <c r="Y32" s="17" t="inlineStr">
        <is>
          <t>PRACTITIONER ONLY (provisional)</t>
        </is>
      </c>
      <c r="Z32" s="11" t="n"/>
      <c r="AA32" s="11" t="n"/>
      <c r="AB32" s="11" t="n"/>
      <c r="AC32" s="14" t="inlineStr">
        <is>
          <t>research_only</t>
        </is>
      </c>
      <c r="AD32" s="15" t="n"/>
      <c r="AE32" s="14" t="n">
        <v>7</v>
      </c>
    </row>
    <row r="33" ht="42" customHeight="1">
      <c r="A33" s="2" t="n">
        <v>1</v>
      </c>
      <c r="B33" s="3" t="inlineStr">
        <is>
          <t>Vitali</t>
        </is>
      </c>
      <c r="C33" s="3" t="inlineStr">
        <is>
          <t>2% Bakuchiol Facial Oil</t>
        </is>
      </c>
      <c r="D33" s="3" t="inlineStr">
        <is>
          <t>Bakuchiol Facial Oil</t>
        </is>
      </c>
      <c r="E33" s="3" t="inlineStr">
        <is>
          <t>Retinol Alternative / Oil</t>
        </is>
      </c>
      <c r="F33" s="3" t="inlineStr">
        <is>
          <t>2% bakuchiol facial oil</t>
        </is>
      </c>
      <c r="G33" s="3" t="inlineStr">
        <is>
          <t>Fine lines, texture, retinol alternative, dryness</t>
        </is>
      </c>
      <c r="H33" s="3" t="inlineStr">
        <is>
          <t>Dry, normal, mature</t>
        </is>
      </c>
      <c r="I33" s="3" t="inlineStr">
        <is>
          <t>PM</t>
        </is>
      </c>
      <c r="J33" s="3" t="inlineStr">
        <is>
          <t>Caution acne-prone/oily skin; patch test</t>
        </is>
      </c>
      <c r="K33" s="3" t="inlineStr">
        <is>
          <t>If retinol alternative is needed with dryness, suggest Bakuchiol Facial Oil</t>
        </is>
      </c>
      <c r="L33" s="3" t="inlineStr">
        <is>
          <t>Night oil</t>
        </is>
      </c>
      <c r="M33" s="3" t="inlineStr">
        <is>
          <t>High</t>
        </is>
      </c>
      <c r="N33" s="3" t="inlineStr">
        <is>
          <t>Official collection page</t>
        </is>
      </c>
      <c r="O33" s="4" t="inlineStr">
        <is>
          <t>https://www.vitaliskincare.com/collections/all</t>
        </is>
      </c>
      <c r="P33" s="3" t="inlineStr"/>
      <c r="Q33" s="11" t="n"/>
      <c r="R33" s="11" t="n"/>
      <c r="S33" s="11" t="n"/>
      <c r="T33" s="12" t="inlineStr">
        <is>
          <t>Unknown</t>
        </is>
      </c>
      <c r="U33" s="11" t="n"/>
      <c r="V33" s="11" t="n"/>
      <c r="W33" s="11" t="n"/>
      <c r="X33" s="11" t="n"/>
      <c r="Y33" s="17" t="inlineStr">
        <is>
          <t>CAUTION (provisional)</t>
        </is>
      </c>
      <c r="Z33" s="11" t="n"/>
      <c r="AA33" s="11" t="n"/>
      <c r="AB33" s="11" t="n"/>
      <c r="AC33" s="14" t="inlineStr">
        <is>
          <t>research_only</t>
        </is>
      </c>
      <c r="AD33" s="15" t="n"/>
      <c r="AE33" s="14" t="n">
        <v>7</v>
      </c>
    </row>
    <row r="34" ht="42" customHeight="1">
      <c r="A34" s="2" t="n">
        <v>1</v>
      </c>
      <c r="B34" s="3" t="inlineStr">
        <is>
          <t>Vitali</t>
        </is>
      </c>
      <c r="C34" s="3" t="inlineStr">
        <is>
          <t>Advanced Resurfacing 10% Lactic Formula</t>
        </is>
      </c>
      <c r="D34" s="3" t="inlineStr">
        <is>
          <t>Lactic Acid Exfoliant</t>
        </is>
      </c>
      <c r="E34" s="3" t="inlineStr">
        <is>
          <t>Exfoliant</t>
        </is>
      </c>
      <c r="F34" s="3" t="inlineStr">
        <is>
          <t>10% lactic formula</t>
        </is>
      </c>
      <c r="G34" s="3" t="inlineStr">
        <is>
          <t>Texture, dullness, uneven tone, clogged pores</t>
        </is>
      </c>
      <c r="H34" s="3" t="inlineStr">
        <is>
          <t>Normal, oily, combination, resilient</t>
        </is>
      </c>
      <c r="I34" s="3" t="inlineStr">
        <is>
          <t>1–2x/week PM</t>
        </is>
      </c>
      <c r="J34" s="3" t="inlineStr">
        <is>
          <t>Avoid with barrier damage, active irritation, strong retinoids/acids</t>
        </is>
      </c>
      <c r="K34" s="3" t="inlineStr">
        <is>
          <t>If texture and dullness are high but sensitivity low, recommend lactic formula</t>
        </is>
      </c>
      <c r="L34" s="3" t="inlineStr">
        <is>
          <t>Exfoliation</t>
        </is>
      </c>
      <c r="M34" s="3" t="inlineStr">
        <is>
          <t>High</t>
        </is>
      </c>
      <c r="N34" s="3" t="inlineStr">
        <is>
          <t>Official collection page</t>
        </is>
      </c>
      <c r="O34" s="4" t="inlineStr">
        <is>
          <t>https://www.vitaliskincare.com/collections/all</t>
        </is>
      </c>
      <c r="P34" s="3" t="inlineStr"/>
      <c r="Q34" s="11" t="n"/>
      <c r="R34" s="11" t="n"/>
      <c r="S34" s="11" t="n"/>
      <c r="T34" s="12" t="inlineStr">
        <is>
          <t>Unknown</t>
        </is>
      </c>
      <c r="U34" s="11" t="n"/>
      <c r="V34" s="11" t="n"/>
      <c r="W34" s="11" t="n"/>
      <c r="X34" s="11" t="n"/>
      <c r="Y34" s="17" t="inlineStr">
        <is>
          <t>CAUTION (provisional)</t>
        </is>
      </c>
      <c r="Z34" s="11" t="n"/>
      <c r="AA34" s="11" t="n"/>
      <c r="AB34" s="11" t="n"/>
      <c r="AC34" s="14" t="inlineStr">
        <is>
          <t>research_only</t>
        </is>
      </c>
      <c r="AD34" s="15" t="n"/>
      <c r="AE34" s="14" t="n">
        <v>7</v>
      </c>
    </row>
    <row r="35" ht="42" customHeight="1">
      <c r="A35" s="2" t="n">
        <v>1</v>
      </c>
      <c r="B35" s="3" t="inlineStr">
        <is>
          <t>Vitali</t>
        </is>
      </c>
      <c r="C35" s="3" t="inlineStr">
        <is>
          <t>Gentle Exfoliating Cleanser</t>
        </is>
      </c>
      <c r="D35" s="3" t="inlineStr">
        <is>
          <t>Exfoliating Cleanser</t>
        </is>
      </c>
      <c r="E35" s="3" t="inlineStr">
        <is>
          <t>Cleanser</t>
        </is>
      </c>
      <c r="F35" s="3" t="inlineStr">
        <is>
          <t>Gentle exfoliating cleanser</t>
        </is>
      </c>
      <c r="G35" s="3" t="inlineStr">
        <is>
          <t>Mild congestion, dullness, texture</t>
        </is>
      </c>
      <c r="H35" s="3" t="inlineStr">
        <is>
          <t>Normal, oily, combination</t>
        </is>
      </c>
      <c r="I35" s="3" t="inlineStr">
        <is>
          <t>AM/PM or as tolerated</t>
        </is>
      </c>
      <c r="J35" s="3" t="inlineStr">
        <is>
          <t>Avoid over-cleansing; caution sensitive skin</t>
        </is>
      </c>
      <c r="K35" s="3" t="inlineStr">
        <is>
          <t>If oily T-zone + texture present, recommend Gentle Exfoliating Cleanser</t>
        </is>
      </c>
      <c r="L35" s="3" t="inlineStr">
        <is>
          <t>Cleanser</t>
        </is>
      </c>
      <c r="M35" s="3" t="inlineStr">
        <is>
          <t>High</t>
        </is>
      </c>
      <c r="N35" s="3" t="inlineStr">
        <is>
          <t>Official collection page</t>
        </is>
      </c>
      <c r="O35" s="4" t="inlineStr">
        <is>
          <t>https://www.vitaliskincare.com/collections/all</t>
        </is>
      </c>
      <c r="P35" s="3" t="inlineStr"/>
      <c r="Q35" s="11" t="n"/>
      <c r="R35" s="11" t="n"/>
      <c r="S35" s="11" t="n"/>
      <c r="T35" s="12" t="inlineStr">
        <is>
          <t>Unknown</t>
        </is>
      </c>
      <c r="U35" s="11" t="n"/>
      <c r="V35" s="11" t="n"/>
      <c r="W35" s="11" t="n"/>
      <c r="X35" s="11" t="n"/>
      <c r="Y35" s="13" t="inlineStr">
        <is>
          <t>Not reviewed</t>
        </is>
      </c>
      <c r="Z35" s="11" t="n"/>
      <c r="AA35" s="11" t="n"/>
      <c r="AB35" s="11" t="n"/>
      <c r="AC35" s="14" t="inlineStr">
        <is>
          <t>research_only</t>
        </is>
      </c>
      <c r="AD35" s="15" t="n"/>
      <c r="AE35" s="14" t="n">
        <v>7</v>
      </c>
    </row>
    <row r="36" ht="42" customHeight="1">
      <c r="A36" s="2" t="n">
        <v>1</v>
      </c>
      <c r="B36" s="3" t="inlineStr">
        <is>
          <t>Vitali</t>
        </is>
      </c>
      <c r="C36" s="3" t="inlineStr">
        <is>
          <t>Hydration Boost Facial Oil &amp; Primer</t>
        </is>
      </c>
      <c r="D36" s="3" t="inlineStr">
        <is>
          <t>Facial Oil / Primer</t>
        </is>
      </c>
      <c r="E36" s="3" t="inlineStr">
        <is>
          <t>Oil / Makeup Prep</t>
        </is>
      </c>
      <c r="F36" s="3" t="inlineStr">
        <is>
          <t>Hydration boost facial oil and primer</t>
        </is>
      </c>
      <c r="G36" s="3" t="inlineStr">
        <is>
          <t>Dryness, makeup prep, glow, barrier support</t>
        </is>
      </c>
      <c r="H36" s="3" t="inlineStr">
        <is>
          <t>Dry, normal</t>
        </is>
      </c>
      <c r="I36" s="3" t="inlineStr">
        <is>
          <t>AM/PM or pre-makeup</t>
        </is>
      </c>
      <c r="J36" s="3" t="inlineStr">
        <is>
          <t>Caution acne-prone/oily skin</t>
        </is>
      </c>
      <c r="K36" s="3" t="inlineStr">
        <is>
          <t>If dryness/glow/makeup prep is desired, recommend Hydration Boost Oil &amp; Primer</t>
        </is>
      </c>
      <c r="L36" s="3" t="inlineStr">
        <is>
          <t>Oil/primer</t>
        </is>
      </c>
      <c r="M36" s="3" t="inlineStr">
        <is>
          <t>High</t>
        </is>
      </c>
      <c r="N36" s="3" t="inlineStr">
        <is>
          <t>Official collection page</t>
        </is>
      </c>
      <c r="O36" s="4" t="inlineStr">
        <is>
          <t>https://www.vitaliskincare.com/collections/all</t>
        </is>
      </c>
      <c r="P36" s="3" t="inlineStr"/>
      <c r="Q36" s="11" t="n"/>
      <c r="R36" s="11" t="n"/>
      <c r="S36" s="11" t="n"/>
      <c r="T36" s="12" t="inlineStr">
        <is>
          <t>Unknown</t>
        </is>
      </c>
      <c r="U36" s="11" t="n"/>
      <c r="V36" s="11" t="n"/>
      <c r="W36" s="11" t="n"/>
      <c r="X36" s="11" t="n"/>
      <c r="Y36" s="13" t="inlineStr">
        <is>
          <t>Not reviewed</t>
        </is>
      </c>
      <c r="Z36" s="11" t="n"/>
      <c r="AA36" s="11" t="n"/>
      <c r="AB36" s="11" t="n"/>
      <c r="AC36" s="14" t="inlineStr">
        <is>
          <t>research_only</t>
        </is>
      </c>
      <c r="AD36" s="15" t="n"/>
      <c r="AE36" s="14" t="n">
        <v>7</v>
      </c>
    </row>
    <row r="37" ht="42" customHeight="1">
      <c r="A37" s="2" t="n">
        <v>1</v>
      </c>
      <c r="B37" s="3" t="inlineStr">
        <is>
          <t>Vitali</t>
        </is>
      </c>
      <c r="C37" s="3" t="inlineStr">
        <is>
          <t>Advanced Copper Peptide Trio</t>
        </is>
      </c>
      <c r="D37" s="3" t="inlineStr">
        <is>
          <t>Bundle</t>
        </is>
      </c>
      <c r="E37" s="3" t="inlineStr">
        <is>
          <t>Copper Peptide System</t>
        </is>
      </c>
      <c r="F37" s="3" t="inlineStr">
        <is>
          <t>Copper peptide trio bundle</t>
        </is>
      </c>
      <c r="G37" s="3" t="inlineStr">
        <is>
          <t>Collagen support, firming, routine simplicity</t>
        </is>
      </c>
      <c r="H37" s="3" t="inlineStr">
        <is>
          <t>Aging, dry, mature</t>
        </is>
      </c>
      <c r="I37" s="3" t="inlineStr">
        <is>
          <t>System routine</t>
        </is>
      </c>
      <c r="J37" s="3" t="inlineStr">
        <is>
          <t>Introduce gradually</t>
        </is>
      </c>
      <c r="K37" s="3" t="inlineStr">
        <is>
          <t>If user wants copper-peptide focused routine, recommend Trio</t>
        </is>
      </c>
      <c r="L37" s="3" t="inlineStr">
        <is>
          <t>Bundle</t>
        </is>
      </c>
      <c r="M37" s="3" t="inlineStr">
        <is>
          <t>High</t>
        </is>
      </c>
      <c r="N37" s="3" t="inlineStr">
        <is>
          <t>Official collection page</t>
        </is>
      </c>
      <c r="O37" s="4" t="inlineStr">
        <is>
          <t>https://www.vitaliskincare.com/collections/all</t>
        </is>
      </c>
      <c r="P37" s="3" t="inlineStr"/>
      <c r="Q37" s="11" t="n"/>
      <c r="R37" s="11" t="n"/>
      <c r="S37" s="11" t="n"/>
      <c r="T37" s="12" t="inlineStr">
        <is>
          <t>Unknown</t>
        </is>
      </c>
      <c r="U37" s="11" t="n"/>
      <c r="V37" s="11" t="n"/>
      <c r="W37" s="11" t="n"/>
      <c r="X37" s="11" t="n"/>
      <c r="Y37" s="13" t="inlineStr">
        <is>
          <t>Not reviewed</t>
        </is>
      </c>
      <c r="Z37" s="11" t="n"/>
      <c r="AA37" s="11" t="n"/>
      <c r="AB37" s="11" t="n"/>
      <c r="AC37" s="14" t="inlineStr">
        <is>
          <t>research_only</t>
        </is>
      </c>
      <c r="AD37" s="15" t="n"/>
      <c r="AE37" s="14" t="n">
        <v>4</v>
      </c>
    </row>
    <row r="38" ht="42" customHeight="1">
      <c r="A38" s="2" t="n">
        <v>1</v>
      </c>
      <c r="B38" s="3" t="inlineStr">
        <is>
          <t>Vitali</t>
        </is>
      </c>
      <c r="C38" s="3" t="inlineStr">
        <is>
          <t>Copper Peptide Bundle (Best Seller)</t>
        </is>
      </c>
      <c r="D38" s="3" t="inlineStr">
        <is>
          <t>Bundle</t>
        </is>
      </c>
      <c r="E38" s="3" t="inlineStr">
        <is>
          <t>Copper Peptide System</t>
        </is>
      </c>
      <c r="F38" s="3" t="inlineStr">
        <is>
          <t>Copper peptide bundle</t>
        </is>
      </c>
      <c r="G38" s="3" t="inlineStr">
        <is>
          <t>Aging, barrier support, redness, firmness</t>
        </is>
      </c>
      <c r="H38" s="3" t="inlineStr">
        <is>
          <t>Aging, dry, sensitive</t>
        </is>
      </c>
      <c r="I38" s="3" t="inlineStr">
        <is>
          <t>System routine</t>
        </is>
      </c>
      <c r="J38" s="3" t="inlineStr">
        <is>
          <t>Introduce gradually</t>
        </is>
      </c>
      <c r="K38" s="3" t="inlineStr">
        <is>
          <t>If multiple Vitali copper products fit the analysis, recommend bundle</t>
        </is>
      </c>
      <c r="L38" s="3" t="inlineStr">
        <is>
          <t>Bundle</t>
        </is>
      </c>
      <c r="M38" s="3" t="inlineStr">
        <is>
          <t>High</t>
        </is>
      </c>
      <c r="N38" s="3" t="inlineStr">
        <is>
          <t>Official collection page</t>
        </is>
      </c>
      <c r="O38" s="4" t="inlineStr">
        <is>
          <t>https://www.vitaliskincare.com/collections/all</t>
        </is>
      </c>
      <c r="P38" s="3" t="inlineStr"/>
      <c r="Q38" s="11" t="n"/>
      <c r="R38" s="11" t="n"/>
      <c r="S38" s="11" t="n"/>
      <c r="T38" s="12" t="inlineStr">
        <is>
          <t>Unknown</t>
        </is>
      </c>
      <c r="U38" s="11" t="n"/>
      <c r="V38" s="11" t="n"/>
      <c r="W38" s="11" t="n"/>
      <c r="X38" s="11" t="n"/>
      <c r="Y38" s="13" t="inlineStr">
        <is>
          <t>Not reviewed</t>
        </is>
      </c>
      <c r="Z38" s="11" t="n"/>
      <c r="AA38" s="11" t="n"/>
      <c r="AB38" s="11" t="n"/>
      <c r="AC38" s="14" t="inlineStr">
        <is>
          <t>blocked</t>
        </is>
      </c>
      <c r="AD38" s="16" t="inlineStr">
        <is>
          <t>DOES NOT EXIST AS NAMED (Phase 9F): absent from the live Vitali catalogue. Do not substitute a near neighbour — re-identify or drop the row.</t>
        </is>
      </c>
      <c r="AE38" s="14" t="n">
        <v>1</v>
      </c>
    </row>
    <row r="39" ht="42" customHeight="1">
      <c r="A39" s="2" t="n">
        <v>1</v>
      </c>
      <c r="B39" s="3" t="inlineStr">
        <is>
          <t>Vitali</t>
        </is>
      </c>
      <c r="C39" s="3" t="inlineStr">
        <is>
          <t>Copper Peptide Trio (Best Seller)</t>
        </is>
      </c>
      <c r="D39" s="3" t="inlineStr">
        <is>
          <t>Bundle</t>
        </is>
      </c>
      <c r="E39" s="3" t="inlineStr">
        <is>
          <t>Copper Peptide System</t>
        </is>
      </c>
      <c r="F39" s="3" t="inlineStr">
        <is>
          <t>Copper peptide trio</t>
        </is>
      </c>
      <c r="G39" s="3" t="inlineStr">
        <is>
          <t>Aging, firmness, collagen support</t>
        </is>
      </c>
      <c r="H39" s="3" t="inlineStr">
        <is>
          <t>Aging, mature</t>
        </is>
      </c>
      <c r="I39" s="3" t="inlineStr">
        <is>
          <t>System routine</t>
        </is>
      </c>
      <c r="J39" s="3" t="inlineStr">
        <is>
          <t>Introduce gradually</t>
        </is>
      </c>
      <c r="K39" s="3" t="inlineStr">
        <is>
          <t>If collagen/firmness is a top priority, recommend trio bundle</t>
        </is>
      </c>
      <c r="L39" s="3" t="inlineStr">
        <is>
          <t>Bundle</t>
        </is>
      </c>
      <c r="M39" s="3" t="inlineStr">
        <is>
          <t>High</t>
        </is>
      </c>
      <c r="N39" s="3" t="inlineStr">
        <is>
          <t>Official collection page</t>
        </is>
      </c>
      <c r="O39" s="4" t="inlineStr">
        <is>
          <t>https://www.vitaliskincare.com/collections/all</t>
        </is>
      </c>
      <c r="P39" s="3" t="inlineStr"/>
      <c r="Q39" s="11" t="n"/>
      <c r="R39" s="11" t="n"/>
      <c r="S39" s="11" t="n"/>
      <c r="T39" s="12" t="inlineStr">
        <is>
          <t>Unknown</t>
        </is>
      </c>
      <c r="U39" s="11" t="n"/>
      <c r="V39" s="11" t="n"/>
      <c r="W39" s="11" t="n"/>
      <c r="X39" s="11" t="n"/>
      <c r="Y39" s="13" t="inlineStr">
        <is>
          <t>Not reviewed</t>
        </is>
      </c>
      <c r="Z39" s="11" t="n"/>
      <c r="AA39" s="11" t="n"/>
      <c r="AB39" s="11" t="n"/>
      <c r="AC39" s="14" t="inlineStr">
        <is>
          <t>research_only</t>
        </is>
      </c>
      <c r="AD39" s="15" t="n"/>
      <c r="AE39" s="14" t="n">
        <v>4</v>
      </c>
    </row>
    <row r="40" ht="42" customHeight="1">
      <c r="A40" s="2" t="n">
        <v>1</v>
      </c>
      <c r="B40" s="3" t="inlineStr">
        <is>
          <t>Vitali</t>
        </is>
      </c>
      <c r="C40" s="3" t="inlineStr">
        <is>
          <t>Cellular Renewal Set</t>
        </is>
      </c>
      <c r="D40" s="3" t="inlineStr">
        <is>
          <t>Bundle</t>
        </is>
      </c>
      <c r="E40" s="3" t="inlineStr">
        <is>
          <t>Renewal System</t>
        </is>
      </c>
      <c r="F40" s="3" t="inlineStr">
        <is>
          <t>Cellular renewal set</t>
        </is>
      </c>
      <c r="G40" s="3" t="inlineStr">
        <is>
          <t>Texture, aging, renewal</t>
        </is>
      </c>
      <c r="H40" s="3" t="inlineStr">
        <is>
          <t>Normal, mature</t>
        </is>
      </c>
      <c r="I40" s="3" t="inlineStr">
        <is>
          <t>System routine</t>
        </is>
      </c>
      <c r="J40" s="3" t="inlineStr">
        <is>
          <t>Patch test; introduce gradually</t>
        </is>
      </c>
      <c r="K40" s="3" t="inlineStr">
        <is>
          <t>If overall renewal is the goal, recommend Cellular Renewal Set</t>
        </is>
      </c>
      <c r="L40" s="3" t="inlineStr">
        <is>
          <t>Bundle</t>
        </is>
      </c>
      <c r="M40" s="3" t="inlineStr">
        <is>
          <t>High</t>
        </is>
      </c>
      <c r="N40" s="3" t="inlineStr">
        <is>
          <t>Official collection page</t>
        </is>
      </c>
      <c r="O40" s="4" t="inlineStr">
        <is>
          <t>https://www.vitaliskincare.com/collections/all</t>
        </is>
      </c>
      <c r="P40" s="3" t="inlineStr"/>
      <c r="Q40" s="11" t="n"/>
      <c r="R40" s="11" t="n"/>
      <c r="S40" s="11" t="n"/>
      <c r="T40" s="12" t="inlineStr">
        <is>
          <t>Unknown</t>
        </is>
      </c>
      <c r="U40" s="11" t="n"/>
      <c r="V40" s="11" t="n"/>
      <c r="W40" s="11" t="n"/>
      <c r="X40" s="11" t="n"/>
      <c r="Y40" s="13" t="inlineStr">
        <is>
          <t>Not reviewed</t>
        </is>
      </c>
      <c r="Z40" s="11" t="n"/>
      <c r="AA40" s="11" t="n"/>
      <c r="AB40" s="11" t="n"/>
      <c r="AC40" s="14" t="inlineStr">
        <is>
          <t>research_only</t>
        </is>
      </c>
      <c r="AD40" s="15" t="n"/>
      <c r="AE40" s="14" t="n">
        <v>4</v>
      </c>
    </row>
    <row r="41" ht="42" customHeight="1">
      <c r="A41" s="2" t="n">
        <v>1</v>
      </c>
      <c r="B41" s="3" t="inlineStr">
        <is>
          <t>Vitali</t>
        </is>
      </c>
      <c r="C41" s="3" t="inlineStr">
        <is>
          <t>Men's Set</t>
        </is>
      </c>
      <c r="D41" s="3" t="inlineStr">
        <is>
          <t>Bundle</t>
        </is>
      </c>
      <c r="E41" s="3" t="inlineStr">
        <is>
          <t>Men's Routine</t>
        </is>
      </c>
      <c r="F41" s="3" t="inlineStr">
        <is>
          <t>Men’s set</t>
        </is>
      </c>
      <c r="G41" s="3" t="inlineStr">
        <is>
          <t>Simplified men’s skincare, aging support</t>
        </is>
      </c>
      <c r="H41" s="3" t="inlineStr">
        <is>
          <t>Men, normal, dry, mature</t>
        </is>
      </c>
      <c r="I41" s="3" t="inlineStr">
        <is>
          <t>System routine</t>
        </is>
      </c>
      <c r="J41" s="3" t="inlineStr">
        <is>
          <t>Patch test</t>
        </is>
      </c>
      <c r="K41" s="3" t="inlineStr">
        <is>
          <t>If male client wants simplified routine, recommend Men's Set</t>
        </is>
      </c>
      <c r="L41" s="3" t="inlineStr">
        <is>
          <t>Bundle</t>
        </is>
      </c>
      <c r="M41" s="3" t="inlineStr">
        <is>
          <t>High</t>
        </is>
      </c>
      <c r="N41" s="3" t="inlineStr">
        <is>
          <t>Official collection page</t>
        </is>
      </c>
      <c r="O41" s="4" t="inlineStr">
        <is>
          <t>https://www.vitaliskincare.com/collections/all</t>
        </is>
      </c>
      <c r="P41" s="3" t="inlineStr"/>
      <c r="Q41" s="11" t="n"/>
      <c r="R41" s="11" t="n"/>
      <c r="S41" s="11" t="n"/>
      <c r="T41" s="12" t="inlineStr">
        <is>
          <t>Unknown</t>
        </is>
      </c>
      <c r="U41" s="11" t="n"/>
      <c r="V41" s="11" t="n"/>
      <c r="W41" s="11" t="n"/>
      <c r="X41" s="11" t="n"/>
      <c r="Y41" s="13" t="inlineStr">
        <is>
          <t>Not reviewed</t>
        </is>
      </c>
      <c r="Z41" s="11" t="n"/>
      <c r="AA41" s="11" t="n"/>
      <c r="AB41" s="11" t="n"/>
      <c r="AC41" s="14" t="inlineStr">
        <is>
          <t>research_only</t>
        </is>
      </c>
      <c r="AD41" s="15" t="n"/>
      <c r="AE41" s="14" t="n">
        <v>4</v>
      </c>
    </row>
    <row r="42" ht="42" customHeight="1">
      <c r="A42" s="2" t="n">
        <v>1</v>
      </c>
      <c r="B42" s="3" t="inlineStr">
        <is>
          <t>Alitura</t>
        </is>
      </c>
      <c r="C42" s="3" t="inlineStr">
        <is>
          <t>The Gold Serum</t>
        </is>
      </c>
      <c r="D42" s="3" t="inlineStr">
        <is>
          <t>Serum</t>
        </is>
      </c>
      <c r="E42" s="3" t="inlineStr">
        <is>
          <t>Antioxidant / Copper Peptide Serum</t>
        </is>
      </c>
      <c r="F42" s="3" t="inlineStr">
        <is>
          <t>95% organic + GHK-Cu + astaxanthin</t>
        </is>
      </c>
      <c r="G42" s="3" t="inlineStr">
        <is>
          <t>Dullness, oxidative stress, fine lines, tone support</t>
        </is>
      </c>
      <c r="H42" s="3" t="inlineStr">
        <is>
          <t>Normal, dry, mature</t>
        </is>
      </c>
      <c r="I42" s="3" t="inlineStr">
        <is>
          <t>AM/PM</t>
        </is>
      </c>
      <c r="J42" s="3" t="inlineStr">
        <is>
          <t>Patch test; caution if very acne-prone due to richer botanicals</t>
        </is>
      </c>
      <c r="K42" s="3" t="inlineStr">
        <is>
          <t>If antioxidant + copper peptide support is needed, recommend Gold Serum</t>
        </is>
      </c>
      <c r="L42" s="3" t="inlineStr">
        <is>
          <t>Serum</t>
        </is>
      </c>
      <c r="M42" s="3" t="inlineStr">
        <is>
          <t>High</t>
        </is>
      </c>
      <c r="N42" s="3" t="inlineStr">
        <is>
          <t>Official collection page</t>
        </is>
      </c>
      <c r="O42" s="4" t="inlineStr">
        <is>
          <t>https://alitura.com/collections/all</t>
        </is>
      </c>
      <c r="P42" s="3" t="inlineStr"/>
      <c r="Q42" s="11" t="n"/>
      <c r="R42" s="11" t="n"/>
      <c r="S42" s="11" t="n"/>
      <c r="T42" s="12" t="inlineStr">
        <is>
          <t>Unknown</t>
        </is>
      </c>
      <c r="U42" s="11" t="n"/>
      <c r="V42" s="11" t="n"/>
      <c r="W42" s="11" t="n"/>
      <c r="X42" s="11" t="n"/>
      <c r="Y42" s="13" t="inlineStr">
        <is>
          <t>Not reviewed</t>
        </is>
      </c>
      <c r="Z42" s="11" t="n"/>
      <c r="AA42" s="11" t="n"/>
      <c r="AB42" s="11" t="n"/>
      <c r="AC42" s="14" t="inlineStr">
        <is>
          <t>research_only</t>
        </is>
      </c>
      <c r="AD42" s="15" t="n"/>
      <c r="AE42" s="14" t="n">
        <v>7</v>
      </c>
    </row>
    <row r="43" ht="42" customHeight="1">
      <c r="A43" s="2" t="n">
        <v>1</v>
      </c>
      <c r="B43" s="3" t="inlineStr">
        <is>
          <t>Alitura</t>
        </is>
      </c>
      <c r="C43" s="3" t="inlineStr">
        <is>
          <t>The Clay Mask</t>
        </is>
      </c>
      <c r="D43" s="3" t="inlineStr">
        <is>
          <t>Mask</t>
        </is>
      </c>
      <c r="E43" s="3" t="inlineStr">
        <is>
          <t>Detox / Brightening Mask</t>
        </is>
      </c>
      <c r="F43" s="3" t="inlineStr">
        <is>
          <t>4-hour grass-fed colostrum + 10% ascorbic acid</t>
        </is>
      </c>
      <c r="G43" s="3" t="inlineStr">
        <is>
          <t>Congestion, dullness, oily T-zone, uneven tone</t>
        </is>
      </c>
      <c r="H43" s="3" t="inlineStr">
        <is>
          <t>Oily, combination, normal</t>
        </is>
      </c>
      <c r="I43" s="3" t="inlineStr">
        <is>
          <t>1–2x/week</t>
        </is>
      </c>
      <c r="J43" s="3" t="inlineStr">
        <is>
          <t>Caution sensitive/reactive skin due to vitamin C/clay; do not overuse</t>
        </is>
      </c>
      <c r="K43" s="3" t="inlineStr">
        <is>
          <t>If congestion/oiliness/dullness present and sensitivity is low, recommend Clay Mask</t>
        </is>
      </c>
      <c r="L43" s="3" t="inlineStr">
        <is>
          <t>Weekly mask</t>
        </is>
      </c>
      <c r="M43" s="3" t="inlineStr">
        <is>
          <t>High</t>
        </is>
      </c>
      <c r="N43" s="3" t="inlineStr">
        <is>
          <t>Official collection page</t>
        </is>
      </c>
      <c r="O43" s="4" t="inlineStr">
        <is>
          <t>https://alitura.com/collections/all</t>
        </is>
      </c>
      <c r="P43" s="3" t="inlineStr"/>
      <c r="Q43" s="11" t="n"/>
      <c r="R43" s="11" t="n"/>
      <c r="S43" s="11" t="n"/>
      <c r="T43" s="12" t="inlineStr">
        <is>
          <t>Unknown</t>
        </is>
      </c>
      <c r="U43" s="11" t="n"/>
      <c r="V43" s="11" t="n"/>
      <c r="W43" s="11" t="n"/>
      <c r="X43" s="11" t="n"/>
      <c r="Y43" s="13" t="inlineStr">
        <is>
          <t>Not reviewed</t>
        </is>
      </c>
      <c r="Z43" s="11" t="n"/>
      <c r="AA43" s="11" t="n"/>
      <c r="AB43" s="11" t="n"/>
      <c r="AC43" s="14" t="inlineStr">
        <is>
          <t>research_only</t>
        </is>
      </c>
      <c r="AD43" s="15" t="n"/>
      <c r="AE43" s="14" t="n">
        <v>7</v>
      </c>
    </row>
    <row r="44" ht="42" customHeight="1">
      <c r="A44" s="2" t="n">
        <v>1</v>
      </c>
      <c r="B44" s="3" t="inlineStr">
        <is>
          <t>Alitura</t>
        </is>
      </c>
      <c r="C44" s="3" t="inlineStr">
        <is>
          <t>The Meteorite Facial Scrub</t>
        </is>
      </c>
      <c r="D44" s="3" t="inlineStr">
        <is>
          <t>Exfoliant</t>
        </is>
      </c>
      <c r="E44" s="3" t="inlineStr">
        <is>
          <t>Physical/Chemical Exfoliant</t>
        </is>
      </c>
      <c r="F44" s="3" t="inlineStr">
        <is>
          <t>Bamboo stem cells + mandelic acid + niacinamide</t>
        </is>
      </c>
      <c r="G44" s="3" t="inlineStr">
        <is>
          <t>Texture, dullness, clogged pores, uneven tone</t>
        </is>
      </c>
      <c r="H44" s="3" t="inlineStr">
        <is>
          <t>Normal, oily, combination</t>
        </is>
      </c>
      <c r="I44" s="3" t="inlineStr">
        <is>
          <t>1x/week PM</t>
        </is>
      </c>
      <c r="J44" s="3" t="inlineStr">
        <is>
          <t>Avoid if barrier is damaged, rosacea-prone, inflamed, or highly sensitive</t>
        </is>
      </c>
      <c r="K44" s="3" t="inlineStr">
        <is>
          <t>If texture + dullness are present but redness/sensitivity low, recommend Meteorite Scrub</t>
        </is>
      </c>
      <c r="L44" s="3" t="inlineStr">
        <is>
          <t>Weekly exfoliation</t>
        </is>
      </c>
      <c r="M44" s="3" t="inlineStr">
        <is>
          <t>High</t>
        </is>
      </c>
      <c r="N44" s="3" t="inlineStr">
        <is>
          <t>Official collection page</t>
        </is>
      </c>
      <c r="O44" s="4" t="inlineStr">
        <is>
          <t>https://alitura.com/collections/all</t>
        </is>
      </c>
      <c r="P44" s="3" t="inlineStr"/>
      <c r="Q44" s="11" t="n"/>
      <c r="R44" s="11" t="n"/>
      <c r="S44" s="11" t="n"/>
      <c r="T44" s="12" t="inlineStr">
        <is>
          <t>Unknown</t>
        </is>
      </c>
      <c r="U44" s="11" t="n"/>
      <c r="V44" s="11" t="n"/>
      <c r="W44" s="11" t="n"/>
      <c r="X44" s="11" t="n"/>
      <c r="Y44" s="17" t="inlineStr">
        <is>
          <t>CAUTION (provisional)</t>
        </is>
      </c>
      <c r="Z44" s="11" t="n"/>
      <c r="AA44" s="11" t="n"/>
      <c r="AB44" s="11" t="n"/>
      <c r="AC44" s="14" t="inlineStr">
        <is>
          <t>research_only</t>
        </is>
      </c>
      <c r="AD44" s="15" t="n"/>
      <c r="AE44" s="14" t="n">
        <v>7</v>
      </c>
    </row>
    <row r="45" ht="42" customHeight="1">
      <c r="A45" s="2" t="n">
        <v>1</v>
      </c>
      <c r="B45" s="3" t="inlineStr">
        <is>
          <t>Alitura</t>
        </is>
      </c>
      <c r="C45" s="3" t="inlineStr">
        <is>
          <t>The Pearl Cleanser</t>
        </is>
      </c>
      <c r="D45" s="3" t="inlineStr">
        <is>
          <t>Cleanser</t>
        </is>
      </c>
      <c r="E45" s="3" t="inlineStr">
        <is>
          <t>Cleanser</t>
        </is>
      </c>
      <c r="F45" s="3" t="inlineStr">
        <is>
          <t>Freshwater pearl powder + tremella mushroom</t>
        </is>
      </c>
      <c r="G45" s="3" t="inlineStr">
        <is>
          <t>Daily cleansing, glow, gentle cleanse</t>
        </is>
      </c>
      <c r="H45" s="3" t="inlineStr">
        <is>
          <t>Normal, dry, combination</t>
        </is>
      </c>
      <c r="I45" s="3" t="inlineStr">
        <is>
          <t>AM/PM</t>
        </is>
      </c>
      <c r="J45" s="3" t="inlineStr">
        <is>
          <t>Patch test</t>
        </is>
      </c>
      <c r="K45" s="3" t="inlineStr">
        <is>
          <t>If gentle daily cleanse and radiance support needed, recommend Pearl Cleanser</t>
        </is>
      </c>
      <c r="L45" s="3" t="inlineStr">
        <is>
          <t>Cleanser</t>
        </is>
      </c>
      <c r="M45" s="3" t="inlineStr">
        <is>
          <t>High</t>
        </is>
      </c>
      <c r="N45" s="3" t="inlineStr">
        <is>
          <t>Official collection page</t>
        </is>
      </c>
      <c r="O45" s="4" t="inlineStr">
        <is>
          <t>https://alitura.com/collections/all</t>
        </is>
      </c>
      <c r="P45" s="3" t="inlineStr"/>
      <c r="Q45" s="11" t="n"/>
      <c r="R45" s="11" t="n"/>
      <c r="S45" s="11" t="n"/>
      <c r="T45" s="12" t="inlineStr">
        <is>
          <t>Unknown</t>
        </is>
      </c>
      <c r="U45" s="11" t="n"/>
      <c r="V45" s="11" t="n"/>
      <c r="W45" s="11" t="n"/>
      <c r="X45" s="11" t="n"/>
      <c r="Y45" s="13" t="inlineStr">
        <is>
          <t>Not reviewed</t>
        </is>
      </c>
      <c r="Z45" s="11" t="n"/>
      <c r="AA45" s="11" t="n"/>
      <c r="AB45" s="11" t="n"/>
      <c r="AC45" s="14" t="inlineStr">
        <is>
          <t>research_only</t>
        </is>
      </c>
      <c r="AD45" s="15" t="n"/>
      <c r="AE45" s="14" t="n">
        <v>7</v>
      </c>
    </row>
    <row r="46" ht="42" customHeight="1">
      <c r="A46" s="2" t="n">
        <v>1</v>
      </c>
      <c r="B46" s="3" t="inlineStr">
        <is>
          <t>Alitura</t>
        </is>
      </c>
      <c r="C46" s="3" t="inlineStr">
        <is>
          <t>The Moisturizer</t>
        </is>
      </c>
      <c r="D46" s="3" t="inlineStr">
        <is>
          <t>Moisturizer</t>
        </is>
      </c>
      <c r="E46" s="3" t="inlineStr">
        <is>
          <t>Moisturizer</t>
        </is>
      </c>
      <c r="F46" s="3" t="inlineStr">
        <is>
          <t>German blue chamomile + bee propolis extract</t>
        </is>
      </c>
      <c r="G46" s="3" t="inlineStr">
        <is>
          <t>Barrier support, dryness, redness, daily moisture</t>
        </is>
      </c>
      <c r="H46" s="3" t="inlineStr">
        <is>
          <t>Dry, normal, sensitive</t>
        </is>
      </c>
      <c r="I46" s="3" t="inlineStr">
        <is>
          <t>AM/PM</t>
        </is>
      </c>
      <c r="J46" s="3" t="inlineStr">
        <is>
          <t>Avoid bee products if allergy concern</t>
        </is>
      </c>
      <c r="K46" s="3" t="inlineStr">
        <is>
          <t>If mild redness/barrier stress/dryness present, recommend Moisturizer</t>
        </is>
      </c>
      <c r="L46" s="3" t="inlineStr">
        <is>
          <t>Moisturizer</t>
        </is>
      </c>
      <c r="M46" s="3" t="inlineStr">
        <is>
          <t>High</t>
        </is>
      </c>
      <c r="N46" s="3" t="inlineStr">
        <is>
          <t>Official collection page</t>
        </is>
      </c>
      <c r="O46" s="4" t="inlineStr">
        <is>
          <t>https://alitura.com/collections/all</t>
        </is>
      </c>
      <c r="P46" s="3" t="inlineStr"/>
      <c r="Q46" s="11" t="n"/>
      <c r="R46" s="11" t="n"/>
      <c r="S46" s="11" t="n"/>
      <c r="T46" s="12" t="inlineStr">
        <is>
          <t>Unknown</t>
        </is>
      </c>
      <c r="U46" s="11" t="n"/>
      <c r="V46" s="11" t="n"/>
      <c r="W46" s="11" t="n"/>
      <c r="X46" s="11" t="n"/>
      <c r="Y46" s="13" t="inlineStr">
        <is>
          <t>Not reviewed</t>
        </is>
      </c>
      <c r="Z46" s="11" t="n"/>
      <c r="AA46" s="11" t="n"/>
      <c r="AB46" s="11" t="n"/>
      <c r="AC46" s="14" t="inlineStr">
        <is>
          <t>research_only</t>
        </is>
      </c>
      <c r="AD46" s="15" t="n"/>
      <c r="AE46" s="14" t="n">
        <v>7</v>
      </c>
    </row>
    <row r="47" ht="42" customHeight="1">
      <c r="A47" s="2" t="n">
        <v>1</v>
      </c>
      <c r="B47" s="3" t="inlineStr">
        <is>
          <t>Alitura</t>
        </is>
      </c>
      <c r="C47" s="3" t="inlineStr">
        <is>
          <t>The Night Cream</t>
        </is>
      </c>
      <c r="D47" s="3" t="inlineStr">
        <is>
          <t>Night Cream</t>
        </is>
      </c>
      <c r="E47" s="3" t="inlineStr">
        <is>
          <t>Moisturizer / Repair</t>
        </is>
      </c>
      <c r="F47" s="3" t="inlineStr">
        <is>
          <t>Edelweiss &amp; gardenia stem cells + hyaluronic acid</t>
        </is>
      </c>
      <c r="G47" s="3" t="inlineStr">
        <is>
          <t>Night repair, dehydration, texture, mature skin</t>
        </is>
      </c>
      <c r="H47" s="3" t="inlineStr">
        <is>
          <t>Dry, normal, mature</t>
        </is>
      </c>
      <c r="I47" s="3" t="inlineStr">
        <is>
          <t>PM</t>
        </is>
      </c>
      <c r="J47" s="3" t="inlineStr">
        <is>
          <t>Patch test</t>
        </is>
      </c>
      <c r="K47" s="3" t="inlineStr">
        <is>
          <t>If PM hydration and repair are priorities, recommend Night Cream</t>
        </is>
      </c>
      <c r="L47" s="3" t="inlineStr">
        <is>
          <t>Night moisturizer</t>
        </is>
      </c>
      <c r="M47" s="3" t="inlineStr">
        <is>
          <t>High</t>
        </is>
      </c>
      <c r="N47" s="3" t="inlineStr">
        <is>
          <t>Official collection page</t>
        </is>
      </c>
      <c r="O47" s="4" t="inlineStr">
        <is>
          <t>https://alitura.com/collections/all</t>
        </is>
      </c>
      <c r="P47" s="3" t="inlineStr"/>
      <c r="Q47" s="11" t="n"/>
      <c r="R47" s="11" t="n"/>
      <c r="S47" s="11" t="n"/>
      <c r="T47" s="12" t="inlineStr">
        <is>
          <t>Unknown</t>
        </is>
      </c>
      <c r="U47" s="11" t="n"/>
      <c r="V47" s="11" t="n"/>
      <c r="W47" s="11" t="n"/>
      <c r="X47" s="11" t="n"/>
      <c r="Y47" s="13" t="inlineStr">
        <is>
          <t>Not reviewed</t>
        </is>
      </c>
      <c r="Z47" s="11" t="n"/>
      <c r="AA47" s="11" t="n"/>
      <c r="AB47" s="11" t="n"/>
      <c r="AC47" s="14" t="inlineStr">
        <is>
          <t>research_only</t>
        </is>
      </c>
      <c r="AD47" s="15" t="n"/>
      <c r="AE47" s="14" t="n">
        <v>7</v>
      </c>
    </row>
    <row r="48" ht="42" customHeight="1">
      <c r="A48" s="2" t="n">
        <v>1</v>
      </c>
      <c r="B48" s="3" t="inlineStr">
        <is>
          <t>Alitura</t>
        </is>
      </c>
      <c r="C48" s="3" t="inlineStr">
        <is>
          <t>Angel's Mist Facial Toner</t>
        </is>
      </c>
      <c r="D48" s="3" t="inlineStr">
        <is>
          <t>Toner / Mist</t>
        </is>
      </c>
      <c r="E48" s="3" t="inlineStr">
        <is>
          <t>Toner</t>
        </is>
      </c>
      <c r="F48" s="3" t="inlineStr">
        <is>
          <t>Organic rose + organic myrrh + niacinamide</t>
        </is>
      </c>
      <c r="G48" s="3" t="inlineStr">
        <is>
          <t>Tone support, light hydration, redness/dullness</t>
        </is>
      </c>
      <c r="H48" s="3" t="inlineStr">
        <is>
          <t>All, especially normal/dry</t>
        </is>
      </c>
      <c r="I48" s="3" t="inlineStr">
        <is>
          <t>AM/PM after cleanse</t>
        </is>
      </c>
      <c r="J48" s="3" t="inlineStr">
        <is>
          <t>Patch test for botanical sensitivity</t>
        </is>
      </c>
      <c r="K48" s="3" t="inlineStr">
        <is>
          <t>If user needs toner/mist with niacinamide support, recommend Angel’s Mist</t>
        </is>
      </c>
      <c r="L48" s="3" t="inlineStr">
        <is>
          <t>Toner</t>
        </is>
      </c>
      <c r="M48" s="3" t="inlineStr">
        <is>
          <t>High</t>
        </is>
      </c>
      <c r="N48" s="3" t="inlineStr">
        <is>
          <t>Official collection page</t>
        </is>
      </c>
      <c r="O48" s="4" t="inlineStr">
        <is>
          <t>https://alitura.com/collections/all</t>
        </is>
      </c>
      <c r="P48" s="3" t="inlineStr"/>
      <c r="Q48" s="11" t="n"/>
      <c r="R48" s="11" t="n"/>
      <c r="S48" s="11" t="n"/>
      <c r="T48" s="12" t="inlineStr">
        <is>
          <t>Unknown</t>
        </is>
      </c>
      <c r="U48" s="11" t="n"/>
      <c r="V48" s="11" t="n"/>
      <c r="W48" s="11" t="n"/>
      <c r="X48" s="11" t="n"/>
      <c r="Y48" s="13" t="inlineStr">
        <is>
          <t>Not reviewed</t>
        </is>
      </c>
      <c r="Z48" s="11" t="n"/>
      <c r="AA48" s="11" t="n"/>
      <c r="AB48" s="11" t="n"/>
      <c r="AC48" s="14" t="inlineStr">
        <is>
          <t>research_only</t>
        </is>
      </c>
      <c r="AD48" s="15" t="n"/>
      <c r="AE48" s="14" t="n">
        <v>7</v>
      </c>
    </row>
    <row r="49" ht="42" customHeight="1">
      <c r="A49" s="2" t="n">
        <v>1</v>
      </c>
      <c r="B49" s="3" t="inlineStr">
        <is>
          <t>Alitura</t>
        </is>
      </c>
      <c r="C49" s="3" t="inlineStr">
        <is>
          <t>The Body Lotion</t>
        </is>
      </c>
      <c r="D49" s="3" t="inlineStr">
        <is>
          <t>Body Lotion</t>
        </is>
      </c>
      <c r="E49" s="3" t="inlineStr">
        <is>
          <t>Body Moisturizer</t>
        </is>
      </c>
      <c r="F49" s="3" t="inlineStr">
        <is>
          <t>Organic Brazilian acai butter + organic ylang-ylang</t>
        </is>
      </c>
      <c r="G49" s="3" t="inlineStr">
        <is>
          <t>Body dryness, glow, body skin support</t>
        </is>
      </c>
      <c r="H49" s="3" t="inlineStr">
        <is>
          <t>Dry, normal</t>
        </is>
      </c>
      <c r="I49" s="3" t="inlineStr">
        <is>
          <t>Daily body care</t>
        </is>
      </c>
      <c r="J49" s="3" t="inlineStr">
        <is>
          <t>Caution fragrance sensitivity</t>
        </is>
      </c>
      <c r="K49" s="3" t="inlineStr">
        <is>
          <t>If body dryness is flagged, recommend Body Lotion</t>
        </is>
      </c>
      <c r="L49" s="3" t="inlineStr">
        <is>
          <t>Body moisturizer</t>
        </is>
      </c>
      <c r="M49" s="3" t="inlineStr">
        <is>
          <t>High</t>
        </is>
      </c>
      <c r="N49" s="3" t="inlineStr">
        <is>
          <t>Official collection page</t>
        </is>
      </c>
      <c r="O49" s="4" t="inlineStr">
        <is>
          <t>https://alitura.com/collections/all</t>
        </is>
      </c>
      <c r="P49" s="3" t="inlineStr"/>
      <c r="Q49" s="11" t="n"/>
      <c r="R49" s="11" t="n"/>
      <c r="S49" s="11" t="n"/>
      <c r="T49" s="12" t="inlineStr">
        <is>
          <t>Unknown</t>
        </is>
      </c>
      <c r="U49" s="11" t="n"/>
      <c r="V49" s="11" t="n"/>
      <c r="W49" s="11" t="n"/>
      <c r="X49" s="11" t="n"/>
      <c r="Y49" s="13" t="inlineStr">
        <is>
          <t>Not reviewed</t>
        </is>
      </c>
      <c r="Z49" s="11" t="n"/>
      <c r="AA49" s="11" t="n"/>
      <c r="AB49" s="11" t="n"/>
      <c r="AC49" s="14" t="inlineStr">
        <is>
          <t>research_only</t>
        </is>
      </c>
      <c r="AD49" s="15" t="n"/>
      <c r="AE49" s="14" t="n">
        <v>7</v>
      </c>
    </row>
    <row r="50" ht="42" customHeight="1">
      <c r="A50" s="2" t="n">
        <v>1</v>
      </c>
      <c r="B50" s="3" t="inlineStr">
        <is>
          <t>Alitura</t>
        </is>
      </c>
      <c r="C50" s="3" t="inlineStr">
        <is>
          <t>Santal Black Hair &amp; Body Oil</t>
        </is>
      </c>
      <c r="D50" s="3" t="inlineStr">
        <is>
          <t>Hair &amp; Body Oil</t>
        </is>
      </c>
      <c r="E50" s="3" t="inlineStr">
        <is>
          <t>Oil</t>
        </is>
      </c>
      <c r="F50" s="3" t="inlineStr">
        <is>
          <t>Indian &amp; Australian sandalwood + bergamot</t>
        </is>
      </c>
      <c r="G50" s="3" t="inlineStr">
        <is>
          <t>Body dryness, hair/body glow</t>
        </is>
      </c>
      <c r="H50" s="3" t="inlineStr">
        <is>
          <t>Dry skin, normal skin</t>
        </is>
      </c>
      <c r="I50" s="3" t="inlineStr">
        <is>
          <t>As needed</t>
        </is>
      </c>
      <c r="J50" s="3" t="inlineStr">
        <is>
          <t>Caution fragrance/essential oil sensitivity</t>
        </is>
      </c>
      <c r="K50" s="3" t="inlineStr">
        <is>
          <t>If body/hair oil requested and sensitivity low, recommend Santal Black</t>
        </is>
      </c>
      <c r="L50" s="3" t="inlineStr">
        <is>
          <t>Oil</t>
        </is>
      </c>
      <c r="M50" s="3" t="inlineStr">
        <is>
          <t>Medium</t>
        </is>
      </c>
      <c r="N50" s="3" t="inlineStr">
        <is>
          <t>Official collection page</t>
        </is>
      </c>
      <c r="O50" s="4" t="inlineStr">
        <is>
          <t>https://alitura.com/collections/all</t>
        </is>
      </c>
      <c r="P50" s="3" t="inlineStr"/>
      <c r="Q50" s="11" t="n"/>
      <c r="R50" s="11" t="n"/>
      <c r="S50" s="11" t="n"/>
      <c r="T50" s="12" t="inlineStr">
        <is>
          <t>Unknown</t>
        </is>
      </c>
      <c r="U50" s="11" t="n"/>
      <c r="V50" s="11" t="n"/>
      <c r="W50" s="11" t="n"/>
      <c r="X50" s="11" t="n"/>
      <c r="Y50" s="13" t="inlineStr">
        <is>
          <t>Not reviewed</t>
        </is>
      </c>
      <c r="Z50" s="11" t="n"/>
      <c r="AA50" s="11" t="n"/>
      <c r="AB50" s="11" t="n"/>
      <c r="AC50" s="14" t="inlineStr">
        <is>
          <t>research_only</t>
        </is>
      </c>
      <c r="AD50" s="15" t="n"/>
      <c r="AE50" s="14" t="n">
        <v>5</v>
      </c>
    </row>
    <row r="51" ht="42" customHeight="1">
      <c r="A51" s="2" t="n">
        <v>1</v>
      </c>
      <c r="B51" s="3" t="inlineStr">
        <is>
          <t>Alitura</t>
        </is>
      </c>
      <c r="C51" s="3" t="inlineStr">
        <is>
          <t>The Microneedle Derma Roller</t>
        </is>
      </c>
      <c r="D51" s="3" t="inlineStr">
        <is>
          <t>Tool</t>
        </is>
      </c>
      <c r="E51" s="3" t="inlineStr">
        <is>
          <t>Device / Tool</t>
        </is>
      </c>
      <c r="F51" s="3" t="inlineStr">
        <is>
          <t>600 titanium microneedles</t>
        </is>
      </c>
      <c r="G51" s="3" t="inlineStr">
        <is>
          <t>Texture, product penetration, collagen support</t>
        </is>
      </c>
      <c r="H51" s="3" t="inlineStr">
        <is>
          <t>Resilient, non-inflamed skin</t>
        </is>
      </c>
      <c r="I51" s="3" t="inlineStr">
        <is>
          <t>As directed, not daily</t>
        </is>
      </c>
      <c r="J51" s="3" t="inlineStr">
        <is>
          <t>Avoid active acne, inflamed skin, poor hygiene, keloid tendency</t>
        </is>
      </c>
      <c r="K51" s="3" t="inlineStr">
        <is>
          <t>If user wants at-home treatment and skin is not inflamed, consider Derma Roller with caution</t>
        </is>
      </c>
      <c r="L51" s="3" t="inlineStr">
        <is>
          <t>Device</t>
        </is>
      </c>
      <c r="M51" s="3" t="inlineStr">
        <is>
          <t>Medium</t>
        </is>
      </c>
      <c r="N51" s="3" t="inlineStr">
        <is>
          <t>Official collection page</t>
        </is>
      </c>
      <c r="O51" s="4" t="inlineStr">
        <is>
          <t>https://alitura.com/collections/all</t>
        </is>
      </c>
      <c r="P51" s="3" t="inlineStr"/>
      <c r="Q51" s="11" t="n"/>
      <c r="R51" s="11" t="n"/>
      <c r="S51" s="11" t="n"/>
      <c r="T51" s="12" t="inlineStr">
        <is>
          <t>Unknown</t>
        </is>
      </c>
      <c r="U51" s="11" t="n"/>
      <c r="V51" s="11" t="n"/>
      <c r="W51" s="11" t="n"/>
      <c r="X51" s="11" t="n"/>
      <c r="Y51" s="17" t="inlineStr">
        <is>
          <t>CAUTION (provisional)</t>
        </is>
      </c>
      <c r="Z51" s="11" t="n"/>
      <c r="AA51" s="11" t="n"/>
      <c r="AB51" s="11" t="n"/>
      <c r="AC51" s="14" t="inlineStr">
        <is>
          <t>out_of_scope</t>
        </is>
      </c>
      <c r="AD51" s="16" t="inlineStr">
        <is>
          <t>OUT OF SCOPE for the topical catalog: device/tool. Identity-only research.</t>
        </is>
      </c>
      <c r="AE51" s="14" t="inlineStr">
        <is>
          <t>skip</t>
        </is>
      </c>
    </row>
    <row r="52" ht="42" customHeight="1">
      <c r="A52" s="2" t="n">
        <v>1</v>
      </c>
      <c r="B52" s="3" t="inlineStr">
        <is>
          <t>Alitura</t>
        </is>
      </c>
      <c r="C52" s="3" t="inlineStr">
        <is>
          <t>The Clay Mask Travel Pack</t>
        </is>
      </c>
      <c r="D52" s="3" t="inlineStr">
        <is>
          <t>Travel Mask</t>
        </is>
      </c>
      <c r="E52" s="3" t="inlineStr">
        <is>
          <t>Mask / Travel</t>
        </is>
      </c>
      <c r="F52" s="3" t="inlineStr">
        <is>
          <t>4-hour grass-fed colostrum + 10% ascorbic acid</t>
        </is>
      </c>
      <c r="G52" s="3" t="inlineStr">
        <is>
          <t>Travel/event prep, dullness, congestion</t>
        </is>
      </c>
      <c r="H52" s="3" t="inlineStr">
        <is>
          <t>Normal, oily, combination</t>
        </is>
      </c>
      <c r="I52" s="3" t="inlineStr">
        <is>
          <t>Travel / weekly</t>
        </is>
      </c>
      <c r="J52" s="3" t="inlineStr">
        <is>
          <t>Same caution as Clay Mask</t>
        </is>
      </c>
      <c r="K52" s="3" t="inlineStr">
        <is>
          <t>Travel version of Clay Mask</t>
        </is>
      </c>
      <c r="L52" s="3" t="inlineStr">
        <is>
          <t>Travel mask</t>
        </is>
      </c>
      <c r="M52" s="3" t="inlineStr">
        <is>
          <t>Medium</t>
        </is>
      </c>
      <c r="N52" s="3" t="inlineStr">
        <is>
          <t>Official collection page</t>
        </is>
      </c>
      <c r="O52" s="4" t="inlineStr">
        <is>
          <t>https://alitura.com/collections/all</t>
        </is>
      </c>
      <c r="P52" s="3" t="inlineStr"/>
      <c r="Q52" s="11" t="n"/>
      <c r="R52" s="11" t="n"/>
      <c r="S52" s="11" t="n"/>
      <c r="T52" s="12" t="inlineStr">
        <is>
          <t>Unknown</t>
        </is>
      </c>
      <c r="U52" s="11" t="n"/>
      <c r="V52" s="11" t="n"/>
      <c r="W52" s="11" t="n"/>
      <c r="X52" s="11" t="n"/>
      <c r="Y52" s="13" t="inlineStr">
        <is>
          <t>Not reviewed</t>
        </is>
      </c>
      <c r="Z52" s="11" t="n"/>
      <c r="AA52" s="11" t="n"/>
      <c r="AB52" s="11" t="n"/>
      <c r="AC52" s="14" t="inlineStr">
        <is>
          <t>research_only</t>
        </is>
      </c>
      <c r="AD52" s="15" t="n"/>
      <c r="AE52" s="14" t="n">
        <v>5</v>
      </c>
    </row>
    <row r="53" ht="42" customHeight="1">
      <c r="A53" s="2" t="n">
        <v>1</v>
      </c>
      <c r="B53" s="3" t="inlineStr">
        <is>
          <t>Alitura</t>
        </is>
      </c>
      <c r="C53" s="3" t="inlineStr">
        <is>
          <t>The Gold Serum Travel Pack</t>
        </is>
      </c>
      <c r="D53" s="3" t="inlineStr">
        <is>
          <t>Travel Serum</t>
        </is>
      </c>
      <c r="E53" s="3" t="inlineStr">
        <is>
          <t>Serum / Travel</t>
        </is>
      </c>
      <c r="F53" s="3" t="inlineStr">
        <is>
          <t>95% organic + GHK-Cu + astaxanthin</t>
        </is>
      </c>
      <c r="G53" s="3" t="inlineStr">
        <is>
          <t>Travel antioxidant support, glow</t>
        </is>
      </c>
      <c r="H53" s="3" t="inlineStr">
        <is>
          <t>Normal, dry, mature</t>
        </is>
      </c>
      <c r="I53" s="3" t="inlineStr">
        <is>
          <t>Travel AM/PM</t>
        </is>
      </c>
      <c r="J53" s="3" t="inlineStr">
        <is>
          <t>Patch test</t>
        </is>
      </c>
      <c r="K53" s="3" t="inlineStr">
        <is>
          <t>Travel version of Gold Serum</t>
        </is>
      </c>
      <c r="L53" s="3" t="inlineStr">
        <is>
          <t>Travel serum</t>
        </is>
      </c>
      <c r="M53" s="3" t="inlineStr">
        <is>
          <t>Medium</t>
        </is>
      </c>
      <c r="N53" s="3" t="inlineStr">
        <is>
          <t>Official collection page</t>
        </is>
      </c>
      <c r="O53" s="4" t="inlineStr">
        <is>
          <t>https://alitura.com/collections/all</t>
        </is>
      </c>
      <c r="P53" s="3" t="inlineStr"/>
      <c r="Q53" s="11" t="n"/>
      <c r="R53" s="11" t="n"/>
      <c r="S53" s="11" t="n"/>
      <c r="T53" s="12" t="inlineStr">
        <is>
          <t>Unknown</t>
        </is>
      </c>
      <c r="U53" s="11" t="n"/>
      <c r="V53" s="11" t="n"/>
      <c r="W53" s="11" t="n"/>
      <c r="X53" s="11" t="n"/>
      <c r="Y53" s="13" t="inlineStr">
        <is>
          <t>Not reviewed</t>
        </is>
      </c>
      <c r="Z53" s="11" t="n"/>
      <c r="AA53" s="11" t="n"/>
      <c r="AB53" s="11" t="n"/>
      <c r="AC53" s="14" t="inlineStr">
        <is>
          <t>research_only</t>
        </is>
      </c>
      <c r="AD53" s="15" t="n"/>
      <c r="AE53" s="14" t="n">
        <v>5</v>
      </c>
    </row>
    <row r="54" ht="42" customHeight="1">
      <c r="A54" s="2" t="n">
        <v>1</v>
      </c>
      <c r="B54" s="3" t="inlineStr">
        <is>
          <t>Alitura</t>
        </is>
      </c>
      <c r="C54" s="3" t="inlineStr">
        <is>
          <t>The Night Cream Travel Pack</t>
        </is>
      </c>
      <c r="D54" s="3" t="inlineStr">
        <is>
          <t>Travel Night Cream</t>
        </is>
      </c>
      <c r="E54" s="3" t="inlineStr">
        <is>
          <t>Moisturizer / Travel</t>
        </is>
      </c>
      <c r="F54" s="3" t="inlineStr">
        <is>
          <t>Edelweiss &amp; gardenia stem cells + hyaluronic acid</t>
        </is>
      </c>
      <c r="G54" s="3" t="inlineStr">
        <is>
          <t>Travel dryness, PM repair</t>
        </is>
      </c>
      <c r="H54" s="3" t="inlineStr">
        <is>
          <t>Dry, normal, mature</t>
        </is>
      </c>
      <c r="I54" s="3" t="inlineStr">
        <is>
          <t>Travel PM</t>
        </is>
      </c>
      <c r="J54" s="3" t="inlineStr">
        <is>
          <t>Patch test</t>
        </is>
      </c>
      <c r="K54" s="3" t="inlineStr">
        <is>
          <t>Travel version of Night Cream</t>
        </is>
      </c>
      <c r="L54" s="3" t="inlineStr">
        <is>
          <t>Travel moisturizer</t>
        </is>
      </c>
      <c r="M54" s="3" t="inlineStr">
        <is>
          <t>Medium</t>
        </is>
      </c>
      <c r="N54" s="3" t="inlineStr">
        <is>
          <t>Official collection page</t>
        </is>
      </c>
      <c r="O54" s="4" t="inlineStr">
        <is>
          <t>https://alitura.com/collections/all</t>
        </is>
      </c>
      <c r="P54" s="3" t="inlineStr"/>
      <c r="Q54" s="11" t="n"/>
      <c r="R54" s="11" t="n"/>
      <c r="S54" s="11" t="n"/>
      <c r="T54" s="12" t="inlineStr">
        <is>
          <t>Unknown</t>
        </is>
      </c>
      <c r="U54" s="11" t="n"/>
      <c r="V54" s="11" t="n"/>
      <c r="W54" s="11" t="n"/>
      <c r="X54" s="11" t="n"/>
      <c r="Y54" s="13" t="inlineStr">
        <is>
          <t>Not reviewed</t>
        </is>
      </c>
      <c r="Z54" s="11" t="n"/>
      <c r="AA54" s="11" t="n"/>
      <c r="AB54" s="11" t="n"/>
      <c r="AC54" s="14" t="inlineStr">
        <is>
          <t>research_only</t>
        </is>
      </c>
      <c r="AD54" s="15" t="n"/>
      <c r="AE54" s="14" t="n">
        <v>5</v>
      </c>
    </row>
    <row r="55" ht="42" customHeight="1">
      <c r="A55" s="2" t="n">
        <v>1</v>
      </c>
      <c r="B55" s="3" t="inlineStr">
        <is>
          <t>Alitura</t>
        </is>
      </c>
      <c r="C55" s="3" t="inlineStr">
        <is>
          <t>The Body Lotion Travel Pack</t>
        </is>
      </c>
      <c r="D55" s="3" t="inlineStr">
        <is>
          <t>Travel Body Lotion</t>
        </is>
      </c>
      <c r="E55" s="3" t="inlineStr">
        <is>
          <t>Body / Travel</t>
        </is>
      </c>
      <c r="F55" s="3" t="inlineStr">
        <is>
          <t>Organic Brazilian acai butter + organic ylang-ylang</t>
        </is>
      </c>
      <c r="G55" s="3" t="inlineStr">
        <is>
          <t>Travel body dryness</t>
        </is>
      </c>
      <c r="H55" s="3" t="inlineStr">
        <is>
          <t>Dry, normal</t>
        </is>
      </c>
      <c r="I55" s="3" t="inlineStr">
        <is>
          <t>Travel daily</t>
        </is>
      </c>
      <c r="J55" s="3" t="inlineStr">
        <is>
          <t>Caution fragrance sensitivity</t>
        </is>
      </c>
      <c r="K55" s="3" t="inlineStr">
        <is>
          <t>Travel version of Body Lotion</t>
        </is>
      </c>
      <c r="L55" s="3" t="inlineStr">
        <is>
          <t>Travel body care</t>
        </is>
      </c>
      <c r="M55" s="3" t="inlineStr">
        <is>
          <t>Medium</t>
        </is>
      </c>
      <c r="N55" s="3" t="inlineStr">
        <is>
          <t>Official collection page</t>
        </is>
      </c>
      <c r="O55" s="4" t="inlineStr">
        <is>
          <t>https://alitura.com/collections/all</t>
        </is>
      </c>
      <c r="P55" s="3" t="inlineStr"/>
      <c r="Q55" s="11" t="n"/>
      <c r="R55" s="11" t="n"/>
      <c r="S55" s="11" t="n"/>
      <c r="T55" s="12" t="inlineStr">
        <is>
          <t>Unknown</t>
        </is>
      </c>
      <c r="U55" s="11" t="n"/>
      <c r="V55" s="11" t="n"/>
      <c r="W55" s="11" t="n"/>
      <c r="X55" s="11" t="n"/>
      <c r="Y55" s="13" t="inlineStr">
        <is>
          <t>Not reviewed</t>
        </is>
      </c>
      <c r="Z55" s="11" t="n"/>
      <c r="AA55" s="11" t="n"/>
      <c r="AB55" s="11" t="n"/>
      <c r="AC55" s="14" t="inlineStr">
        <is>
          <t>blocked</t>
        </is>
      </c>
      <c r="AD55" s="16" t="inlineStr">
        <is>
          <t>DOES NOT EXIST AS NAMED (Phase 9F): absent from the live Alitura catalogue. Do not substitute a near neighbour — re-identify or drop the row.</t>
        </is>
      </c>
      <c r="AE55" s="14" t="inlineStr">
        <is>
          <t>skip</t>
        </is>
      </c>
    </row>
    <row r="56" ht="42" customHeight="1">
      <c r="A56" s="2" t="n">
        <v>1</v>
      </c>
      <c r="B56" s="3" t="inlineStr">
        <is>
          <t>Alitura</t>
        </is>
      </c>
      <c r="C56" s="3" t="inlineStr">
        <is>
          <t>The Four Step Facial</t>
        </is>
      </c>
      <c r="D56" s="3" t="inlineStr">
        <is>
          <t>Bundle</t>
        </is>
      </c>
      <c r="E56" s="3" t="inlineStr">
        <is>
          <t>Cleanse, Exfoliate, Hydrate, Repair</t>
        </is>
      </c>
      <c r="F56" s="3" t="inlineStr">
        <is>
          <t>Four-step facial system</t>
        </is>
      </c>
      <c r="G56" s="3" t="inlineStr">
        <is>
          <t>Simple full-face routine, dullness, texture, hydration</t>
        </is>
      </c>
      <c r="H56" s="3" t="inlineStr">
        <is>
          <t>Normal, combination, dry</t>
        </is>
      </c>
      <c r="I56" s="3" t="inlineStr">
        <is>
          <t>System routine</t>
        </is>
      </c>
      <c r="J56" s="3" t="inlineStr">
        <is>
          <t>Introduce exfoliation gradually</t>
        </is>
      </c>
      <c r="K56" s="3" t="inlineStr">
        <is>
          <t>If user wants a complete Alitura routine, recommend Four Step Facial</t>
        </is>
      </c>
      <c r="L56" s="3" t="inlineStr">
        <is>
          <t>Bundle</t>
        </is>
      </c>
      <c r="M56" s="3" t="inlineStr">
        <is>
          <t>High</t>
        </is>
      </c>
      <c r="N56" s="3" t="inlineStr">
        <is>
          <t>Official collection page</t>
        </is>
      </c>
      <c r="O56" s="4" t="inlineStr">
        <is>
          <t>https://alitura.com/collections/all</t>
        </is>
      </c>
      <c r="P56" s="3" t="inlineStr"/>
      <c r="Q56" s="11" t="n"/>
      <c r="R56" s="11" t="n"/>
      <c r="S56" s="11" t="n"/>
      <c r="T56" s="12" t="inlineStr">
        <is>
          <t>Unknown</t>
        </is>
      </c>
      <c r="U56" s="11" t="n"/>
      <c r="V56" s="11" t="n"/>
      <c r="W56" s="11" t="n"/>
      <c r="X56" s="11" t="n"/>
      <c r="Y56" s="13" t="inlineStr">
        <is>
          <t>Not reviewed</t>
        </is>
      </c>
      <c r="Z56" s="11" t="n"/>
      <c r="AA56" s="11" t="n"/>
      <c r="AB56" s="11" t="n"/>
      <c r="AC56" s="14" t="inlineStr">
        <is>
          <t>research_only</t>
        </is>
      </c>
      <c r="AD56" s="15" t="n"/>
      <c r="AE56" s="14" t="n">
        <v>4</v>
      </c>
    </row>
    <row r="57" ht="42" customHeight="1">
      <c r="A57" s="2" t="n">
        <v>1</v>
      </c>
      <c r="B57" s="3" t="inlineStr">
        <is>
          <t>Alitura</t>
        </is>
      </c>
      <c r="C57" s="3" t="inlineStr">
        <is>
          <t>The Perfect Duo</t>
        </is>
      </c>
      <c r="D57" s="3" t="inlineStr">
        <is>
          <t>Bundle</t>
        </is>
      </c>
      <c r="E57" s="3" t="inlineStr">
        <is>
          <t>Purify, Cleanse &amp; Hydrate</t>
        </is>
      </c>
      <c r="F57" s="3" t="inlineStr">
        <is>
          <t>Deeply purify, cleanse, and hydrate</t>
        </is>
      </c>
      <c r="G57" s="3" t="inlineStr">
        <is>
          <t>Starter routine, cleanser + hydration</t>
        </is>
      </c>
      <c r="H57" s="3" t="inlineStr">
        <is>
          <t>Normal, combination</t>
        </is>
      </c>
      <c r="I57" s="3" t="inlineStr">
        <is>
          <t>System routine</t>
        </is>
      </c>
      <c r="J57" s="3" t="inlineStr">
        <is>
          <t>Patch test</t>
        </is>
      </c>
      <c r="K57" s="3" t="inlineStr">
        <is>
          <t>If cleanser/hydration are main needs, recommend Perfect Duo</t>
        </is>
      </c>
      <c r="L57" s="3" t="inlineStr">
        <is>
          <t>Bundle</t>
        </is>
      </c>
      <c r="M57" s="3" t="inlineStr">
        <is>
          <t>High</t>
        </is>
      </c>
      <c r="N57" s="3" t="inlineStr">
        <is>
          <t>Official collection page</t>
        </is>
      </c>
      <c r="O57" s="4" t="inlineStr">
        <is>
          <t>https://alitura.com/collections/all</t>
        </is>
      </c>
      <c r="P57" s="3" t="inlineStr"/>
      <c r="Q57" s="11" t="n"/>
      <c r="R57" s="11" t="n"/>
      <c r="S57" s="11" t="n"/>
      <c r="T57" s="12" t="inlineStr">
        <is>
          <t>Unknown</t>
        </is>
      </c>
      <c r="U57" s="11" t="n"/>
      <c r="V57" s="11" t="n"/>
      <c r="W57" s="11" t="n"/>
      <c r="X57" s="11" t="n"/>
      <c r="Y57" s="13" t="inlineStr">
        <is>
          <t>Not reviewed</t>
        </is>
      </c>
      <c r="Z57" s="11" t="n"/>
      <c r="AA57" s="11" t="n"/>
      <c r="AB57" s="11" t="n"/>
      <c r="AC57" s="14" t="inlineStr">
        <is>
          <t>research_only</t>
        </is>
      </c>
      <c r="AD57" s="15" t="n"/>
      <c r="AE57" s="14" t="n">
        <v>4</v>
      </c>
    </row>
    <row r="58" ht="42" customHeight="1">
      <c r="A58" s="2" t="n">
        <v>1</v>
      </c>
      <c r="B58" s="3" t="inlineStr">
        <is>
          <t>Alitura</t>
        </is>
      </c>
      <c r="C58" s="3" t="inlineStr">
        <is>
          <t>The Ultimate Starter Set</t>
        </is>
      </c>
      <c r="D58" s="3" t="inlineStr">
        <is>
          <t>Bundle</t>
        </is>
      </c>
      <c r="E58" s="3" t="inlineStr">
        <is>
          <t>Starter System</t>
        </is>
      </c>
      <c r="F58" s="3" t="inlineStr">
        <is>
          <t>Plant-powered trifecta of award-winning formulas</t>
        </is>
      </c>
      <c r="G58" s="3" t="inlineStr">
        <is>
          <t>Starter protocol, glow, hydration, texture</t>
        </is>
      </c>
      <c r="H58" s="3" t="inlineStr">
        <is>
          <t>Normal, dry, combination</t>
        </is>
      </c>
      <c r="I58" s="3" t="inlineStr">
        <is>
          <t>System routine</t>
        </is>
      </c>
      <c r="J58" s="3" t="inlineStr">
        <is>
          <t>Introduce one product at a time if sensitive</t>
        </is>
      </c>
      <c r="K58" s="3" t="inlineStr">
        <is>
          <t>If new user wants core Alitura, recommend Ultimate Starter Set</t>
        </is>
      </c>
      <c r="L58" s="3" t="inlineStr">
        <is>
          <t>Bundle</t>
        </is>
      </c>
      <c r="M58" s="3" t="inlineStr">
        <is>
          <t>High</t>
        </is>
      </c>
      <c r="N58" s="3" t="inlineStr">
        <is>
          <t>Official collection page</t>
        </is>
      </c>
      <c r="O58" s="4" t="inlineStr">
        <is>
          <t>https://alitura.com/collections/all</t>
        </is>
      </c>
      <c r="P58" s="3" t="inlineStr"/>
      <c r="Q58" s="11" t="n"/>
      <c r="R58" s="11" t="n"/>
      <c r="S58" s="11" t="n"/>
      <c r="T58" s="12" t="inlineStr">
        <is>
          <t>Unknown</t>
        </is>
      </c>
      <c r="U58" s="11" t="n"/>
      <c r="V58" s="11" t="n"/>
      <c r="W58" s="11" t="n"/>
      <c r="X58" s="11" t="n"/>
      <c r="Y58" s="13" t="inlineStr">
        <is>
          <t>Not reviewed</t>
        </is>
      </c>
      <c r="Z58" s="11" t="n"/>
      <c r="AA58" s="11" t="n"/>
      <c r="AB58" s="11" t="n"/>
      <c r="AC58" s="14" t="inlineStr">
        <is>
          <t>research_only</t>
        </is>
      </c>
      <c r="AD58" s="15" t="n"/>
      <c r="AE58" s="14" t="n">
        <v>4</v>
      </c>
    </row>
    <row r="59" ht="42" customHeight="1">
      <c r="A59" s="2" t="n">
        <v>1</v>
      </c>
      <c r="B59" s="3" t="inlineStr">
        <is>
          <t>Alitura</t>
        </is>
      </c>
      <c r="C59" s="3" t="inlineStr">
        <is>
          <t>The Instant Glow Kit</t>
        </is>
      </c>
      <c r="D59" s="3" t="inlineStr">
        <is>
          <t>Bundle</t>
        </is>
      </c>
      <c r="E59" s="3" t="inlineStr">
        <is>
          <t>Glow / Travel</t>
        </is>
      </c>
      <c r="F59" s="3" t="inlineStr">
        <is>
          <t>Glow on the go</t>
        </is>
      </c>
      <c r="G59" s="3" t="inlineStr">
        <is>
          <t>Event prep, dullness, radiance</t>
        </is>
      </c>
      <c r="H59" s="3" t="inlineStr">
        <is>
          <t>Normal, dry, combination</t>
        </is>
      </c>
      <c r="I59" s="3" t="inlineStr">
        <is>
          <t>Event / travel</t>
        </is>
      </c>
      <c r="J59" s="3" t="inlineStr">
        <is>
          <t>Patch test</t>
        </is>
      </c>
      <c r="K59" s="3" t="inlineStr">
        <is>
          <t>If radiance/event prep is priority, recommend Instant Glow Kit</t>
        </is>
      </c>
      <c r="L59" s="3" t="inlineStr">
        <is>
          <t>Bundle</t>
        </is>
      </c>
      <c r="M59" s="3" t="inlineStr">
        <is>
          <t>High</t>
        </is>
      </c>
      <c r="N59" s="3" t="inlineStr">
        <is>
          <t>Official collection page</t>
        </is>
      </c>
      <c r="O59" s="4" t="inlineStr">
        <is>
          <t>https://alitura.com/collections/all</t>
        </is>
      </c>
      <c r="P59" s="3" t="inlineStr"/>
      <c r="Q59" s="11" t="n"/>
      <c r="R59" s="11" t="n"/>
      <c r="S59" s="11" t="n"/>
      <c r="T59" s="12" t="inlineStr">
        <is>
          <t>Unknown</t>
        </is>
      </c>
      <c r="U59" s="11" t="n"/>
      <c r="V59" s="11" t="n"/>
      <c r="W59" s="11" t="n"/>
      <c r="X59" s="11" t="n"/>
      <c r="Y59" s="13" t="inlineStr">
        <is>
          <t>Not reviewed</t>
        </is>
      </c>
      <c r="Z59" s="11" t="n"/>
      <c r="AA59" s="11" t="n"/>
      <c r="AB59" s="11" t="n"/>
      <c r="AC59" s="14" t="inlineStr">
        <is>
          <t>research_only</t>
        </is>
      </c>
      <c r="AD59" s="15" t="n"/>
      <c r="AE59" s="14" t="n">
        <v>4</v>
      </c>
    </row>
    <row r="60" ht="42" customHeight="1">
      <c r="A60" s="2" t="n">
        <v>1</v>
      </c>
      <c r="B60" s="3" t="inlineStr">
        <is>
          <t>Alitura</t>
        </is>
      </c>
      <c r="C60" s="3" t="inlineStr">
        <is>
          <t>The At-Home Facial Kit</t>
        </is>
      </c>
      <c r="D60" s="3" t="inlineStr">
        <is>
          <t>Bundle</t>
        </is>
      </c>
      <c r="E60" s="3" t="inlineStr">
        <is>
          <t>At-Home Facial</t>
        </is>
      </c>
      <c r="F60" s="3" t="inlineStr">
        <is>
          <t>Professional back-bar treatment at home</t>
        </is>
      </c>
      <c r="G60" s="3" t="inlineStr">
        <is>
          <t>At-home facial, dullness, texture, congestion</t>
        </is>
      </c>
      <c r="H60" s="3" t="inlineStr">
        <is>
          <t>Normal, combination, oily</t>
        </is>
      </c>
      <c r="I60" s="3" t="inlineStr">
        <is>
          <t>Weekly / as directed</t>
        </is>
      </c>
      <c r="J60" s="3" t="inlineStr">
        <is>
          <t>Caution sensitive/reactive skin</t>
        </is>
      </c>
      <c r="K60" s="3" t="inlineStr">
        <is>
          <t>If user wants a full at-home treatment and sensitivity low, recommend At-Home Facial Kit</t>
        </is>
      </c>
      <c r="L60" s="3" t="inlineStr">
        <is>
          <t>Bundle</t>
        </is>
      </c>
      <c r="M60" s="3" t="inlineStr">
        <is>
          <t>High</t>
        </is>
      </c>
      <c r="N60" s="3" t="inlineStr">
        <is>
          <t>Official collection page</t>
        </is>
      </c>
      <c r="O60" s="4" t="inlineStr">
        <is>
          <t>https://alitura.com/collections/all</t>
        </is>
      </c>
      <c r="P60" s="3" t="inlineStr"/>
      <c r="Q60" s="11" t="n"/>
      <c r="R60" s="11" t="n"/>
      <c r="S60" s="11" t="n"/>
      <c r="T60" s="12" t="inlineStr">
        <is>
          <t>Unknown</t>
        </is>
      </c>
      <c r="U60" s="11" t="n"/>
      <c r="V60" s="11" t="n"/>
      <c r="W60" s="11" t="n"/>
      <c r="X60" s="11" t="n"/>
      <c r="Y60" s="13" t="inlineStr">
        <is>
          <t>Not reviewed</t>
        </is>
      </c>
      <c r="Z60" s="11" t="n"/>
      <c r="AA60" s="11" t="n"/>
      <c r="AB60" s="11" t="n"/>
      <c r="AC60" s="14" t="inlineStr">
        <is>
          <t>research_only</t>
        </is>
      </c>
      <c r="AD60" s="15" t="n"/>
      <c r="AE60" s="14" t="n">
        <v>4</v>
      </c>
    </row>
    <row r="61" ht="42" customHeight="1">
      <c r="A61" s="2" t="n">
        <v>1</v>
      </c>
      <c r="B61" s="3" t="inlineStr">
        <is>
          <t>Alitura</t>
        </is>
      </c>
      <c r="C61" s="3" t="inlineStr">
        <is>
          <t>The Essential Discovery Set</t>
        </is>
      </c>
      <c r="D61" s="3" t="inlineStr">
        <is>
          <t>Bundle</t>
        </is>
      </c>
      <c r="E61" s="3" t="inlineStr">
        <is>
          <t>Complete System</t>
        </is>
      </c>
      <c r="F61" s="3" t="inlineStr">
        <is>
          <t>Complete skincare system</t>
        </is>
      </c>
      <c r="G61" s="3" t="inlineStr">
        <is>
          <t>Full routine discovery, multiple concerns</t>
        </is>
      </c>
      <c r="H61" s="3" t="inlineStr">
        <is>
          <t>Normal, dry, combination</t>
        </is>
      </c>
      <c r="I61" s="3" t="inlineStr">
        <is>
          <t>System routine</t>
        </is>
      </c>
      <c r="J61" s="3" t="inlineStr">
        <is>
          <t>Introduce gradually</t>
        </is>
      </c>
      <c r="K61" s="3" t="inlineStr">
        <is>
          <t>If user wants full brand trial, recommend Essential Discovery Set</t>
        </is>
      </c>
      <c r="L61" s="3" t="inlineStr">
        <is>
          <t>Bundle</t>
        </is>
      </c>
      <c r="M61" s="3" t="inlineStr">
        <is>
          <t>High</t>
        </is>
      </c>
      <c r="N61" s="3" t="inlineStr">
        <is>
          <t>Official collection page</t>
        </is>
      </c>
      <c r="O61" s="4" t="inlineStr">
        <is>
          <t>https://alitura.com/collections/all</t>
        </is>
      </c>
      <c r="P61" s="3" t="inlineStr"/>
      <c r="Q61" s="11" t="n"/>
      <c r="R61" s="11" t="n"/>
      <c r="S61" s="11" t="n"/>
      <c r="T61" s="12" t="inlineStr">
        <is>
          <t>Unknown</t>
        </is>
      </c>
      <c r="U61" s="11" t="n"/>
      <c r="V61" s="11" t="n"/>
      <c r="W61" s="11" t="n"/>
      <c r="X61" s="11" t="n"/>
      <c r="Y61" s="13" t="inlineStr">
        <is>
          <t>Not reviewed</t>
        </is>
      </c>
      <c r="Z61" s="11" t="n"/>
      <c r="AA61" s="11" t="n"/>
      <c r="AB61" s="11" t="n"/>
      <c r="AC61" s="14" t="inlineStr">
        <is>
          <t>research_only</t>
        </is>
      </c>
      <c r="AD61" s="15" t="n"/>
      <c r="AE61" s="14" t="n">
        <v>4</v>
      </c>
    </row>
    <row r="62" ht="42" customHeight="1">
      <c r="A62" s="2" t="n">
        <v>1</v>
      </c>
      <c r="B62" s="3" t="inlineStr">
        <is>
          <t>Alitura</t>
        </is>
      </c>
      <c r="C62" s="3" t="inlineStr">
        <is>
          <t>Andy Hnilo Signature Shaving Kit</t>
        </is>
      </c>
      <c r="D62" s="3" t="inlineStr">
        <is>
          <t>Bundle</t>
        </is>
      </c>
      <c r="E62" s="3" t="inlineStr">
        <is>
          <t>Men’s / Shaving</t>
        </is>
      </c>
      <c r="F62" s="3" t="inlineStr">
        <is>
          <t>Shaving kit</t>
        </is>
      </c>
      <c r="G62" s="3" t="inlineStr">
        <is>
          <t>Men’s skincare, shaving irritation</t>
        </is>
      </c>
      <c r="H62" s="3" t="inlineStr">
        <is>
          <t>Men, shaving skin</t>
        </is>
      </c>
      <c r="I62" s="3" t="inlineStr">
        <is>
          <t>As directed</t>
        </is>
      </c>
      <c r="J62" s="3" t="inlineStr">
        <is>
          <t>Patch test</t>
        </is>
      </c>
      <c r="K62" s="3" t="inlineStr">
        <is>
          <t>If shaving irritation or men’s routine requested, recommend Shaving Kit</t>
        </is>
      </c>
      <c r="L62" s="3" t="inlineStr">
        <is>
          <t>Bundle</t>
        </is>
      </c>
      <c r="M62" s="3" t="inlineStr">
        <is>
          <t>Medium</t>
        </is>
      </c>
      <c r="N62" s="3" t="inlineStr">
        <is>
          <t>Official collection page</t>
        </is>
      </c>
      <c r="O62" s="4" t="inlineStr">
        <is>
          <t>https://alitura.com/collections/all</t>
        </is>
      </c>
      <c r="P62" s="3" t="inlineStr"/>
      <c r="Q62" s="11" t="n"/>
      <c r="R62" s="11" t="n"/>
      <c r="S62" s="11" t="n"/>
      <c r="T62" s="12" t="inlineStr">
        <is>
          <t>Unknown</t>
        </is>
      </c>
      <c r="U62" s="11" t="n"/>
      <c r="V62" s="11" t="n"/>
      <c r="W62" s="11" t="n"/>
      <c r="X62" s="11" t="n"/>
      <c r="Y62" s="13" t="inlineStr">
        <is>
          <t>Not reviewed</t>
        </is>
      </c>
      <c r="Z62" s="11" t="n"/>
      <c r="AA62" s="11" t="n"/>
      <c r="AB62" s="11" t="n"/>
      <c r="AC62" s="14" t="inlineStr">
        <is>
          <t>research_only</t>
        </is>
      </c>
      <c r="AD62" s="15" t="n"/>
      <c r="AE62" s="14" t="n">
        <v>2</v>
      </c>
    </row>
    <row r="63" ht="42" customHeight="1">
      <c r="A63" s="3" t="n">
        <v>2</v>
      </c>
      <c r="B63" s="3" t="inlineStr">
        <is>
          <t>OneSkin</t>
        </is>
      </c>
      <c r="C63" s="3" t="inlineStr">
        <is>
          <t>OS-01 FACE</t>
        </is>
      </c>
      <c r="D63" s="3" t="inlineStr">
        <is>
          <t>Topical supplement / moisturizer</t>
        </is>
      </c>
      <c r="E63" s="3" t="inlineStr">
        <is>
          <t>Other Verified / To Expand</t>
        </is>
      </c>
      <c r="F63" s="3" t="inlineStr">
        <is>
          <t>OS-01 peptide positioning</t>
        </is>
      </c>
      <c r="G63" s="3" t="inlineStr">
        <is>
          <t>Skin aging, barrier, hydration</t>
        </is>
      </c>
      <c r="H63" s="3" t="inlineStr">
        <is>
          <t>Depends on product</t>
        </is>
      </c>
      <c r="I63" s="3" t="inlineStr">
        <is>
          <t>Per label</t>
        </is>
      </c>
      <c r="J63" s="3" t="inlineStr">
        <is>
          <t>Verify contraindications and ingredient list before recommendation</t>
        </is>
      </c>
      <c r="K63" s="3" t="inlineStr">
        <is>
          <t>Use only when category matches skin finding and product is in verified DB</t>
        </is>
      </c>
      <c r="L63" s="3" t="inlineStr">
        <is>
          <t>Varies</t>
        </is>
      </c>
      <c r="M63" s="3" t="inlineStr">
        <is>
          <t>Medium-High</t>
        </is>
      </c>
      <c r="N63" s="3" t="inlineStr">
        <is>
          <t>Needs product-page verification before app launch</t>
        </is>
      </c>
      <c r="O63" s="4" t="inlineStr">
        <is>
          <t>https://www.oneskin.co</t>
        </is>
      </c>
      <c r="P63" s="3" t="inlineStr">
        <is>
          <t>Added as secondary expansion brand/product; confirm exact ingredient panel before using in production.</t>
        </is>
      </c>
      <c r="Q63" s="11" t="n"/>
      <c r="R63" s="11" t="n"/>
      <c r="S63" s="11" t="n"/>
      <c r="T63" s="12" t="inlineStr">
        <is>
          <t>Unknown</t>
        </is>
      </c>
      <c r="U63" s="11" t="n"/>
      <c r="V63" s="11" t="n"/>
      <c r="W63" s="11" t="n"/>
      <c r="X63" s="11" t="n"/>
      <c r="Y63" s="13" t="inlineStr">
        <is>
          <t>Not reviewed</t>
        </is>
      </c>
      <c r="Z63" s="11" t="n"/>
      <c r="AA63" s="11" t="n"/>
      <c r="AB63" s="11" t="n"/>
      <c r="AC63" s="14" t="inlineStr">
        <is>
          <t>research_only</t>
        </is>
      </c>
      <c r="AD63" s="15" t="inlineStr">
        <is>
          <t>Needs product-page verification before app launch.</t>
        </is>
      </c>
      <c r="AE63" s="14" t="n">
        <v>4</v>
      </c>
    </row>
    <row r="64" ht="42" customHeight="1">
      <c r="A64" s="3" t="n">
        <v>2</v>
      </c>
      <c r="B64" s="3" t="inlineStr">
        <is>
          <t>OneSkin</t>
        </is>
      </c>
      <c r="C64" s="3" t="inlineStr">
        <is>
          <t>OS-01 EYE</t>
        </is>
      </c>
      <c r="D64" s="3" t="inlineStr">
        <is>
          <t>Eye cream</t>
        </is>
      </c>
      <c r="E64" s="3" t="inlineStr">
        <is>
          <t>Other Verified / To Expand</t>
        </is>
      </c>
      <c r="F64" s="3" t="inlineStr">
        <is>
          <t>OS-01 peptide positioning</t>
        </is>
      </c>
      <c r="G64" s="3" t="inlineStr">
        <is>
          <t>Eye lines, crepiness, under-eye aging</t>
        </is>
      </c>
      <c r="H64" s="3" t="inlineStr">
        <is>
          <t>Depends on product</t>
        </is>
      </c>
      <c r="I64" s="3" t="inlineStr">
        <is>
          <t>Per label</t>
        </is>
      </c>
      <c r="J64" s="3" t="inlineStr">
        <is>
          <t>Verify contraindications and ingredient list before recommendation</t>
        </is>
      </c>
      <c r="K64" s="3" t="inlineStr">
        <is>
          <t>Use only when category matches skin finding and product is in verified DB</t>
        </is>
      </c>
      <c r="L64" s="3" t="inlineStr">
        <is>
          <t>Varies</t>
        </is>
      </c>
      <c r="M64" s="3" t="inlineStr">
        <is>
          <t>Medium-High</t>
        </is>
      </c>
      <c r="N64" s="3" t="inlineStr">
        <is>
          <t>Needs product-page verification before app launch</t>
        </is>
      </c>
      <c r="O64" s="4" t="inlineStr">
        <is>
          <t>https://www.oneskin.co</t>
        </is>
      </c>
      <c r="P64" s="3" t="inlineStr">
        <is>
          <t>Added as secondary expansion brand/product; confirm exact ingredient panel before using in production.</t>
        </is>
      </c>
      <c r="Q64" s="11" t="n"/>
      <c r="R64" s="11" t="n"/>
      <c r="S64" s="11" t="n"/>
      <c r="T64" s="12" t="inlineStr">
        <is>
          <t>Unknown</t>
        </is>
      </c>
      <c r="U64" s="11" t="n"/>
      <c r="V64" s="11" t="n"/>
      <c r="W64" s="11" t="n"/>
      <c r="X64" s="11" t="n"/>
      <c r="Y64" s="13" t="inlineStr">
        <is>
          <t>Not reviewed</t>
        </is>
      </c>
      <c r="Z64" s="11" t="n"/>
      <c r="AA64" s="11" t="n"/>
      <c r="AB64" s="11" t="n"/>
      <c r="AC64" s="14" t="inlineStr">
        <is>
          <t>research_only</t>
        </is>
      </c>
      <c r="AD64" s="15" t="inlineStr">
        <is>
          <t>Needs product-page verification before app launch.</t>
        </is>
      </c>
      <c r="AE64" s="14" t="n">
        <v>4</v>
      </c>
    </row>
    <row r="65" ht="42" customHeight="1">
      <c r="A65" s="3" t="n">
        <v>2</v>
      </c>
      <c r="B65" s="3" t="inlineStr">
        <is>
          <t>OneSkin</t>
        </is>
      </c>
      <c r="C65" s="3" t="inlineStr">
        <is>
          <t>OS-01 BODY</t>
        </is>
      </c>
      <c r="D65" s="3" t="inlineStr">
        <is>
          <t>Body topical</t>
        </is>
      </c>
      <c r="E65" s="3" t="inlineStr">
        <is>
          <t>Other Verified / To Expand</t>
        </is>
      </c>
      <c r="F65" s="3" t="inlineStr">
        <is>
          <t>OS-01 peptide positioning</t>
        </is>
      </c>
      <c r="G65" s="3" t="inlineStr">
        <is>
          <t>Body aging, crepey skin</t>
        </is>
      </c>
      <c r="H65" s="3" t="inlineStr">
        <is>
          <t>Depends on product</t>
        </is>
      </c>
      <c r="I65" s="3" t="inlineStr">
        <is>
          <t>Per label</t>
        </is>
      </c>
      <c r="J65" s="3" t="inlineStr">
        <is>
          <t>Verify contraindications and ingredient list before recommendation</t>
        </is>
      </c>
      <c r="K65" s="3" t="inlineStr">
        <is>
          <t>Use only when category matches skin finding and product is in verified DB</t>
        </is>
      </c>
      <c r="L65" s="3" t="inlineStr">
        <is>
          <t>Varies</t>
        </is>
      </c>
      <c r="M65" s="3" t="inlineStr">
        <is>
          <t>Medium-High</t>
        </is>
      </c>
      <c r="N65" s="3" t="inlineStr">
        <is>
          <t>Needs product-page verification before app launch</t>
        </is>
      </c>
      <c r="O65" s="4" t="inlineStr">
        <is>
          <t>https://www.oneskin.co</t>
        </is>
      </c>
      <c r="P65" s="3" t="inlineStr">
        <is>
          <t>Added as secondary expansion brand/product; confirm exact ingredient panel before using in production.</t>
        </is>
      </c>
      <c r="Q65" s="11" t="n"/>
      <c r="R65" s="11" t="n"/>
      <c r="S65" s="11" t="n"/>
      <c r="T65" s="12" t="inlineStr">
        <is>
          <t>Unknown</t>
        </is>
      </c>
      <c r="U65" s="11" t="n"/>
      <c r="V65" s="11" t="n"/>
      <c r="W65" s="11" t="n"/>
      <c r="X65" s="11" t="n"/>
      <c r="Y65" s="13" t="inlineStr">
        <is>
          <t>Not reviewed</t>
        </is>
      </c>
      <c r="Z65" s="11" t="n"/>
      <c r="AA65" s="11" t="n"/>
      <c r="AB65" s="11" t="n"/>
      <c r="AC65" s="14" t="inlineStr">
        <is>
          <t>research_only</t>
        </is>
      </c>
      <c r="AD65" s="15" t="inlineStr">
        <is>
          <t>Needs product-page verification before app launch.</t>
        </is>
      </c>
      <c r="AE65" s="14" t="n">
        <v>4</v>
      </c>
    </row>
    <row r="66" ht="42" customHeight="1">
      <c r="A66" s="3" t="n">
        <v>2</v>
      </c>
      <c r="B66" s="3" t="inlineStr">
        <is>
          <t>OneSkin</t>
        </is>
      </c>
      <c r="C66" s="3" t="inlineStr">
        <is>
          <t>OS-01 BODY SPF</t>
        </is>
      </c>
      <c r="D66" s="3" t="inlineStr">
        <is>
          <t>Body SPF</t>
        </is>
      </c>
      <c r="E66" s="3" t="inlineStr">
        <is>
          <t>Other Verified / To Expand</t>
        </is>
      </c>
      <c r="F66" s="3" t="inlineStr">
        <is>
          <t>OS-01 + SPF positioning</t>
        </is>
      </c>
      <c r="G66" s="3" t="inlineStr">
        <is>
          <t>Daily body sun protection</t>
        </is>
      </c>
      <c r="H66" s="3" t="inlineStr">
        <is>
          <t>Depends on product</t>
        </is>
      </c>
      <c r="I66" s="3" t="inlineStr">
        <is>
          <t>Per label</t>
        </is>
      </c>
      <c r="J66" s="3" t="inlineStr">
        <is>
          <t>Verify contraindications and ingredient list before recommendation</t>
        </is>
      </c>
      <c r="K66" s="3" t="inlineStr">
        <is>
          <t>Use only when category matches skin finding and product is in verified DB</t>
        </is>
      </c>
      <c r="L66" s="3" t="inlineStr">
        <is>
          <t>Varies</t>
        </is>
      </c>
      <c r="M66" s="3" t="inlineStr">
        <is>
          <t>Medium-High</t>
        </is>
      </c>
      <c r="N66" s="3" t="inlineStr">
        <is>
          <t>Needs product-page verification before app launch</t>
        </is>
      </c>
      <c r="O66" s="4" t="inlineStr">
        <is>
          <t>https://www.oneskin.co</t>
        </is>
      </c>
      <c r="P66" s="3" t="inlineStr">
        <is>
          <t>Added as secondary expansion brand/product; confirm exact ingredient panel before using in production.</t>
        </is>
      </c>
      <c r="Q66" s="11" t="n"/>
      <c r="R66" s="11" t="n"/>
      <c r="S66" s="11" t="n"/>
      <c r="T66" s="12" t="inlineStr">
        <is>
          <t>Unknown</t>
        </is>
      </c>
      <c r="U66" s="11" t="n"/>
      <c r="V66" s="11" t="n"/>
      <c r="W66" s="11" t="n"/>
      <c r="X66" s="11" t="n"/>
      <c r="Y66" s="13" t="inlineStr">
        <is>
          <t>Not reviewed</t>
        </is>
      </c>
      <c r="Z66" s="11" t="n"/>
      <c r="AA66" s="11" t="n"/>
      <c r="AB66" s="11" t="n"/>
      <c r="AC66" s="14" t="inlineStr">
        <is>
          <t>research_only</t>
        </is>
      </c>
      <c r="AD66" s="15" t="inlineStr">
        <is>
          <t>Needs product-page verification before app launch.</t>
        </is>
      </c>
      <c r="AE66" s="14" t="n">
        <v>4</v>
      </c>
    </row>
    <row r="67" ht="42" customHeight="1">
      <c r="A67" s="3" t="n">
        <v>2</v>
      </c>
      <c r="B67" s="3" t="inlineStr">
        <is>
          <t>SkinBetter Science</t>
        </is>
      </c>
      <c r="C67" s="3" t="inlineStr">
        <is>
          <t>Alto Advanced Defense and Repair Serum</t>
        </is>
      </c>
      <c r="D67" s="3" t="inlineStr">
        <is>
          <t>Antioxidant serum</t>
        </is>
      </c>
      <c r="E67" s="3" t="inlineStr">
        <is>
          <t>Other Verified / To Expand</t>
        </is>
      </c>
      <c r="F67" s="3" t="inlineStr">
        <is>
          <t>Antioxidant defense positioning</t>
        </is>
      </c>
      <c r="G67" s="3" t="inlineStr">
        <is>
          <t>Oxidative stress, redness, pigmentation</t>
        </is>
      </c>
      <c r="H67" s="3" t="inlineStr">
        <is>
          <t>Depends on product</t>
        </is>
      </c>
      <c r="I67" s="3" t="inlineStr">
        <is>
          <t>Per label</t>
        </is>
      </c>
      <c r="J67" s="3" t="inlineStr">
        <is>
          <t>Verify contraindications and ingredient list before recommendation</t>
        </is>
      </c>
      <c r="K67" s="3" t="inlineStr">
        <is>
          <t>Use only when category matches skin finding and product is in verified DB</t>
        </is>
      </c>
      <c r="L67" s="3" t="inlineStr">
        <is>
          <t>Varies</t>
        </is>
      </c>
      <c r="M67" s="3" t="inlineStr">
        <is>
          <t>Medium-High</t>
        </is>
      </c>
      <c r="N67" s="3" t="inlineStr">
        <is>
          <t>Needs product-page verification before app launch</t>
        </is>
      </c>
      <c r="O67" s="4" t="inlineStr">
        <is>
          <t>https://www.skinbetter.com</t>
        </is>
      </c>
      <c r="P67" s="3" t="inlineStr">
        <is>
          <t>Added as secondary expansion brand/product; confirm exact ingredient panel before using in production.</t>
        </is>
      </c>
      <c r="Q67" s="11" t="n"/>
      <c r="R67" s="11" t="n"/>
      <c r="S67" s="11" t="n"/>
      <c r="T67" s="12" t="inlineStr">
        <is>
          <t>Unknown</t>
        </is>
      </c>
      <c r="U67" s="11" t="n"/>
      <c r="V67" s="11" t="n"/>
      <c r="W67" s="11" t="n"/>
      <c r="X67" s="11" t="n"/>
      <c r="Y67" s="13" t="inlineStr">
        <is>
          <t>Not reviewed</t>
        </is>
      </c>
      <c r="Z67" s="11" t="n"/>
      <c r="AA67" s="11" t="n"/>
      <c r="AB67" s="11" t="n"/>
      <c r="AC67" s="14" t="inlineStr">
        <is>
          <t>research_only</t>
        </is>
      </c>
      <c r="AD67" s="15" t="inlineStr">
        <is>
          <t>Needs product-page verification before app launch.</t>
        </is>
      </c>
      <c r="AE67" s="14" t="n">
        <v>4</v>
      </c>
    </row>
    <row r="68" ht="42" customHeight="1">
      <c r="A68" s="3" t="n">
        <v>2</v>
      </c>
      <c r="B68" s="3" t="inlineStr">
        <is>
          <t>SkinBetter Science</t>
        </is>
      </c>
      <c r="C68" s="3" t="inlineStr">
        <is>
          <t>AlphaRet Overnight Cream</t>
        </is>
      </c>
      <c r="D68" s="3" t="inlineStr">
        <is>
          <t>Retinoid / exfoliating night treatment</t>
        </is>
      </c>
      <c r="E68" s="3" t="inlineStr">
        <is>
          <t>Other Verified / To Expand</t>
        </is>
      </c>
      <c r="F68" s="3" t="inlineStr">
        <is>
          <t>AlphaRet technology positioning</t>
        </is>
      </c>
      <c r="G68" s="3" t="inlineStr">
        <is>
          <t>Texture, wrinkles, photoaging</t>
        </is>
      </c>
      <c r="H68" s="3" t="inlineStr">
        <is>
          <t>Depends on product</t>
        </is>
      </c>
      <c r="I68" s="3" t="inlineStr">
        <is>
          <t>Per label</t>
        </is>
      </c>
      <c r="J68" s="3" t="inlineStr">
        <is>
          <t>Verify contraindications and ingredient list before recommendation</t>
        </is>
      </c>
      <c r="K68" s="3" t="inlineStr">
        <is>
          <t>Use only when category matches skin finding and product is in verified DB</t>
        </is>
      </c>
      <c r="L68" s="3" t="inlineStr">
        <is>
          <t>Varies</t>
        </is>
      </c>
      <c r="M68" s="3" t="inlineStr">
        <is>
          <t>Medium-High</t>
        </is>
      </c>
      <c r="N68" s="3" t="inlineStr">
        <is>
          <t>Needs product-page verification before app launch</t>
        </is>
      </c>
      <c r="O68" s="4" t="inlineStr">
        <is>
          <t>https://www.skinbetter.com</t>
        </is>
      </c>
      <c r="P68" s="3" t="inlineStr">
        <is>
          <t>Added as secondary expansion brand/product; confirm exact ingredient panel before using in production.</t>
        </is>
      </c>
      <c r="Q68" s="11" t="n"/>
      <c r="R68" s="11" t="n"/>
      <c r="S68" s="11" t="n"/>
      <c r="T68" s="12" t="inlineStr">
        <is>
          <t>Unknown</t>
        </is>
      </c>
      <c r="U68" s="11" t="n"/>
      <c r="V68" s="11" t="n"/>
      <c r="W68" s="11" t="n"/>
      <c r="X68" s="11" t="n"/>
      <c r="Y68" s="17" t="inlineStr">
        <is>
          <t>AVOID (provisional)</t>
        </is>
      </c>
      <c r="Z68" s="11" t="n"/>
      <c r="AA68" s="11" t="n"/>
      <c r="AB68" s="11" t="n"/>
      <c r="AC68" s="14" t="inlineStr">
        <is>
          <t>research_only</t>
        </is>
      </c>
      <c r="AD68" s="15" t="inlineStr">
        <is>
          <t>Needs product-page verification before app launch.</t>
        </is>
      </c>
      <c r="AE68" s="14" t="n">
        <v>4</v>
      </c>
    </row>
    <row r="69" ht="42" customHeight="1">
      <c r="A69" s="3" t="n">
        <v>2</v>
      </c>
      <c r="B69" s="3" t="inlineStr">
        <is>
          <t>Revision Skincare</t>
        </is>
      </c>
      <c r="C69" s="3" t="inlineStr">
        <is>
          <t>Intellishade TruPhysical SPF 45</t>
        </is>
      </c>
      <c r="D69" s="3" t="inlineStr">
        <is>
          <t>Tinted mineral SPF</t>
        </is>
      </c>
      <c r="E69" s="3" t="inlineStr">
        <is>
          <t>Other Verified / To Expand</t>
        </is>
      </c>
      <c r="F69" s="3" t="inlineStr">
        <is>
          <t>Mineral SPF + anti-aging positioning</t>
        </is>
      </c>
      <c r="G69" s="3" t="inlineStr">
        <is>
          <t>Pigmentation prevention, daily UV defense</t>
        </is>
      </c>
      <c r="H69" s="3" t="inlineStr">
        <is>
          <t>Depends on product</t>
        </is>
      </c>
      <c r="I69" s="3" t="inlineStr">
        <is>
          <t>Per label</t>
        </is>
      </c>
      <c r="J69" s="3" t="inlineStr">
        <is>
          <t>Verify contraindications and ingredient list before recommendation</t>
        </is>
      </c>
      <c r="K69" s="3" t="inlineStr">
        <is>
          <t>Use only when category matches skin finding and product is in verified DB</t>
        </is>
      </c>
      <c r="L69" s="3" t="inlineStr">
        <is>
          <t>Varies</t>
        </is>
      </c>
      <c r="M69" s="3" t="inlineStr">
        <is>
          <t>Medium-High</t>
        </is>
      </c>
      <c r="N69" s="3" t="inlineStr">
        <is>
          <t>Needs product-page verification before app launch</t>
        </is>
      </c>
      <c r="O69" s="4" t="inlineStr">
        <is>
          <t>https://www.revisionskincare.com</t>
        </is>
      </c>
      <c r="P69" s="3" t="inlineStr">
        <is>
          <t>Added as secondary expansion brand/product; confirm exact ingredient panel before using in production.</t>
        </is>
      </c>
      <c r="Q69" s="11" t="n"/>
      <c r="R69" s="11" t="n"/>
      <c r="S69" s="11" t="n"/>
      <c r="T69" s="12" t="inlineStr">
        <is>
          <t>Unknown</t>
        </is>
      </c>
      <c r="U69" s="11" t="n"/>
      <c r="V69" s="11" t="n"/>
      <c r="W69" s="11" t="n"/>
      <c r="X69" s="11" t="n"/>
      <c r="Y69" s="13" t="inlineStr">
        <is>
          <t>Not reviewed</t>
        </is>
      </c>
      <c r="Z69" s="11" t="n"/>
      <c r="AA69" s="11" t="n"/>
      <c r="AB69" s="11" t="n"/>
      <c r="AC69" s="14" t="inlineStr">
        <is>
          <t>blocked</t>
        </is>
      </c>
      <c r="AD69" s="16" t="inlineStr">
        <is>
          <t>BLOCKER (Phase 9F): OTC sunscreen publishing no Drug Facts panel and no active percentages.</t>
        </is>
      </c>
      <c r="AE69" s="14" t="inlineStr">
        <is>
          <t>skip</t>
        </is>
      </c>
    </row>
    <row r="70" ht="42" customHeight="1">
      <c r="A70" s="3" t="n">
        <v>2</v>
      </c>
      <c r="B70" s="3" t="inlineStr">
        <is>
          <t>Revision Skincare</t>
        </is>
      </c>
      <c r="C70" s="3" t="inlineStr">
        <is>
          <t>C+ Correcting Complex 30%</t>
        </is>
      </c>
      <c r="D70" s="3" t="inlineStr">
        <is>
          <t>Vitamin C / antioxidant</t>
        </is>
      </c>
      <c r="E70" s="3" t="inlineStr">
        <is>
          <t>Other Verified / To Expand</t>
        </is>
      </c>
      <c r="F70" s="3" t="inlineStr">
        <is>
          <t>Vitamin C complex positioning</t>
        </is>
      </c>
      <c r="G70" s="3" t="inlineStr">
        <is>
          <t>Dullness, oxidative stress, tone</t>
        </is>
      </c>
      <c r="H70" s="3" t="inlineStr">
        <is>
          <t>Depends on product</t>
        </is>
      </c>
      <c r="I70" s="3" t="inlineStr">
        <is>
          <t>Per label</t>
        </is>
      </c>
      <c r="J70" s="3" t="inlineStr">
        <is>
          <t>Verify contraindications and ingredient list before recommendation</t>
        </is>
      </c>
      <c r="K70" s="3" t="inlineStr">
        <is>
          <t>Use only when category matches skin finding and product is in verified DB</t>
        </is>
      </c>
      <c r="L70" s="3" t="inlineStr">
        <is>
          <t>Varies</t>
        </is>
      </c>
      <c r="M70" s="3" t="inlineStr">
        <is>
          <t>Medium-High</t>
        </is>
      </c>
      <c r="N70" s="3" t="inlineStr">
        <is>
          <t>Needs product-page verification before app launch</t>
        </is>
      </c>
      <c r="O70" s="4" t="inlineStr">
        <is>
          <t>https://www.revisionskincare.com</t>
        </is>
      </c>
      <c r="P70" s="3" t="inlineStr">
        <is>
          <t>Added as secondary expansion brand/product; confirm exact ingredient panel before using in production.</t>
        </is>
      </c>
      <c r="Q70" s="11" t="n"/>
      <c r="R70" s="11" t="n"/>
      <c r="S70" s="11" t="n"/>
      <c r="T70" s="12" t="inlineStr">
        <is>
          <t>Unknown</t>
        </is>
      </c>
      <c r="U70" s="11" t="n"/>
      <c r="V70" s="11" t="n"/>
      <c r="W70" s="11" t="n"/>
      <c r="X70" s="11" t="n"/>
      <c r="Y70" s="13" t="inlineStr">
        <is>
          <t>Not reviewed</t>
        </is>
      </c>
      <c r="Z70" s="11" t="n"/>
      <c r="AA70" s="11" t="n"/>
      <c r="AB70" s="11" t="n"/>
      <c r="AC70" s="14" t="inlineStr">
        <is>
          <t>research_only</t>
        </is>
      </c>
      <c r="AD70" s="15" t="inlineStr">
        <is>
          <t>Needs product-page verification before app launch.</t>
        </is>
      </c>
      <c r="AE70" s="14" t="n">
        <v>4</v>
      </c>
    </row>
    <row r="71" ht="42" customHeight="1">
      <c r="A71" s="3" t="n">
        <v>2</v>
      </c>
      <c r="B71" s="3" t="inlineStr">
        <is>
          <t>iS Clinical</t>
        </is>
      </c>
      <c r="C71" s="3" t="inlineStr">
        <is>
          <t>Super Serum Advance+</t>
        </is>
      </c>
      <c r="D71" s="3" t="inlineStr">
        <is>
          <t>Vitamin C serum</t>
        </is>
      </c>
      <c r="E71" s="3" t="inlineStr">
        <is>
          <t>Other Verified / To Expand</t>
        </is>
      </c>
      <c r="F71" s="3" t="inlineStr">
        <is>
          <t>Vitamin C + copper tripeptide positioning</t>
        </is>
      </c>
      <c r="G71" s="3" t="inlineStr">
        <is>
          <t>Pigmentation, fine lines, texture</t>
        </is>
      </c>
      <c r="H71" s="3" t="inlineStr">
        <is>
          <t>Depends on product</t>
        </is>
      </c>
      <c r="I71" s="3" t="inlineStr">
        <is>
          <t>Per label</t>
        </is>
      </c>
      <c r="J71" s="3" t="inlineStr">
        <is>
          <t>Verify contraindications and ingredient list before recommendation</t>
        </is>
      </c>
      <c r="K71" s="3" t="inlineStr">
        <is>
          <t>Use only when category matches skin finding and product is in verified DB</t>
        </is>
      </c>
      <c r="L71" s="3" t="inlineStr">
        <is>
          <t>Varies</t>
        </is>
      </c>
      <c r="M71" s="3" t="inlineStr">
        <is>
          <t>Medium-High</t>
        </is>
      </c>
      <c r="N71" s="3" t="inlineStr">
        <is>
          <t>Needs product-page verification before app launch</t>
        </is>
      </c>
      <c r="O71" s="4" t="inlineStr">
        <is>
          <t>https://www.isclinical.com</t>
        </is>
      </c>
      <c r="P71" s="3" t="inlineStr">
        <is>
          <t>Added as secondary expansion brand/product; confirm exact ingredient panel before using in production.</t>
        </is>
      </c>
      <c r="Q71" s="11" t="n"/>
      <c r="R71" s="11" t="n"/>
      <c r="S71" s="11" t="n"/>
      <c r="T71" s="12" t="inlineStr">
        <is>
          <t>Unknown</t>
        </is>
      </c>
      <c r="U71" s="11" t="n"/>
      <c r="V71" s="11" t="n"/>
      <c r="W71" s="11" t="n"/>
      <c r="X71" s="11" t="n"/>
      <c r="Y71" s="13" t="inlineStr">
        <is>
          <t>Not reviewed</t>
        </is>
      </c>
      <c r="Z71" s="11" t="n"/>
      <c r="AA71" s="11" t="n"/>
      <c r="AB71" s="11" t="n"/>
      <c r="AC71" s="14" t="inlineStr">
        <is>
          <t>research_only</t>
        </is>
      </c>
      <c r="AD71" s="15" t="inlineStr">
        <is>
          <t>Needs product-page verification before app launch.</t>
        </is>
      </c>
      <c r="AE71" s="14" t="n">
        <v>4</v>
      </c>
    </row>
    <row r="72" ht="42" customHeight="1">
      <c r="A72" s="3" t="n">
        <v>2</v>
      </c>
      <c r="B72" s="3" t="inlineStr">
        <is>
          <t>iS Clinical</t>
        </is>
      </c>
      <c r="C72" s="3" t="inlineStr">
        <is>
          <t>Cleansing Complex</t>
        </is>
      </c>
      <c r="D72" s="3" t="inlineStr">
        <is>
          <t>Cleanser</t>
        </is>
      </c>
      <c r="E72" s="3" t="inlineStr">
        <is>
          <t>Other Verified / To Expand</t>
        </is>
      </c>
      <c r="F72" s="3" t="inlineStr">
        <is>
          <t>Gel cleanser positioning</t>
        </is>
      </c>
      <c r="G72" s="3" t="inlineStr">
        <is>
          <t>All-purpose cleanser, congestion</t>
        </is>
      </c>
      <c r="H72" s="3" t="inlineStr">
        <is>
          <t>Depends on product</t>
        </is>
      </c>
      <c r="I72" s="3" t="inlineStr">
        <is>
          <t>Per label</t>
        </is>
      </c>
      <c r="J72" s="3" t="inlineStr">
        <is>
          <t>Verify contraindications and ingredient list before recommendation</t>
        </is>
      </c>
      <c r="K72" s="3" t="inlineStr">
        <is>
          <t>Use only when category matches skin finding and product is in verified DB</t>
        </is>
      </c>
      <c r="L72" s="3" t="inlineStr">
        <is>
          <t>Varies</t>
        </is>
      </c>
      <c r="M72" s="3" t="inlineStr">
        <is>
          <t>Medium-High</t>
        </is>
      </c>
      <c r="N72" s="3" t="inlineStr">
        <is>
          <t>Needs product-page verification before app launch</t>
        </is>
      </c>
      <c r="O72" s="4" t="inlineStr">
        <is>
          <t>https://www.isclinical.com</t>
        </is>
      </c>
      <c r="P72" s="3" t="inlineStr">
        <is>
          <t>Added as secondary expansion brand/product; confirm exact ingredient panel before using in production.</t>
        </is>
      </c>
      <c r="Q72" s="11" t="n"/>
      <c r="R72" s="11" t="n"/>
      <c r="S72" s="11" t="n"/>
      <c r="T72" s="12" t="inlineStr">
        <is>
          <t>Unknown</t>
        </is>
      </c>
      <c r="U72" s="11" t="n"/>
      <c r="V72" s="11" t="n"/>
      <c r="W72" s="11" t="n"/>
      <c r="X72" s="11" t="n"/>
      <c r="Y72" s="13" t="inlineStr">
        <is>
          <t>Not reviewed</t>
        </is>
      </c>
      <c r="Z72" s="11" t="n"/>
      <c r="AA72" s="11" t="n"/>
      <c r="AB72" s="11" t="n"/>
      <c r="AC72" s="14" t="inlineStr">
        <is>
          <t>research_only</t>
        </is>
      </c>
      <c r="AD72" s="15" t="inlineStr">
        <is>
          <t>Needs product-page verification before app launch.</t>
        </is>
      </c>
      <c r="AE72" s="14" t="n">
        <v>4</v>
      </c>
    </row>
    <row r="73" ht="42" customHeight="1">
      <c r="A73" s="3" t="n">
        <v>2</v>
      </c>
      <c r="B73" s="3" t="inlineStr">
        <is>
          <t>Epicutis</t>
        </is>
      </c>
      <c r="C73" s="3" t="inlineStr">
        <is>
          <t>Lipid Serum</t>
        </is>
      </c>
      <c r="D73" s="3" t="inlineStr">
        <is>
          <t>Barrier serum</t>
        </is>
      </c>
      <c r="E73" s="3" t="inlineStr">
        <is>
          <t>Other Verified / To Expand</t>
        </is>
      </c>
      <c r="F73" s="3" t="inlineStr">
        <is>
          <t>TSC positioning</t>
        </is>
      </c>
      <c r="G73" s="3" t="inlineStr">
        <is>
          <t>Redness, barrier, inflammation</t>
        </is>
      </c>
      <c r="H73" s="3" t="inlineStr">
        <is>
          <t>Depends on product</t>
        </is>
      </c>
      <c r="I73" s="3" t="inlineStr">
        <is>
          <t>Per label</t>
        </is>
      </c>
      <c r="J73" s="3" t="inlineStr">
        <is>
          <t>Verify contraindications and ingredient list before recommendation</t>
        </is>
      </c>
      <c r="K73" s="3" t="inlineStr">
        <is>
          <t>Use only when category matches skin finding and product is in verified DB</t>
        </is>
      </c>
      <c r="L73" s="3" t="inlineStr">
        <is>
          <t>Varies</t>
        </is>
      </c>
      <c r="M73" s="3" t="inlineStr">
        <is>
          <t>Medium-High</t>
        </is>
      </c>
      <c r="N73" s="3" t="inlineStr">
        <is>
          <t>Needs product-page verification before app launch</t>
        </is>
      </c>
      <c r="O73" s="4" t="inlineStr">
        <is>
          <t>https://www.epicutis.com</t>
        </is>
      </c>
      <c r="P73" s="3" t="inlineStr">
        <is>
          <t>Added as secondary expansion brand/product; confirm exact ingredient panel before using in production.</t>
        </is>
      </c>
      <c r="Q73" s="11" t="n"/>
      <c r="R73" s="11" t="n"/>
      <c r="S73" s="11" t="n"/>
      <c r="T73" s="12" t="inlineStr">
        <is>
          <t>Unknown</t>
        </is>
      </c>
      <c r="U73" s="11" t="n"/>
      <c r="V73" s="11" t="n"/>
      <c r="W73" s="11" t="n"/>
      <c r="X73" s="11" t="n"/>
      <c r="Y73" s="13" t="inlineStr">
        <is>
          <t>Not reviewed</t>
        </is>
      </c>
      <c r="Z73" s="11" t="n"/>
      <c r="AA73" s="11" t="n"/>
      <c r="AB73" s="11" t="n"/>
      <c r="AC73" s="14" t="inlineStr">
        <is>
          <t>research_only</t>
        </is>
      </c>
      <c r="AD73" s="15" t="inlineStr">
        <is>
          <t>Needs product-page verification before app launch.</t>
        </is>
      </c>
      <c r="AE73" s="14" t="n">
        <v>4</v>
      </c>
    </row>
    <row r="74" ht="42" customHeight="1">
      <c r="A74" s="3" t="n">
        <v>2</v>
      </c>
      <c r="B74" s="3" t="inlineStr">
        <is>
          <t>Epicutis</t>
        </is>
      </c>
      <c r="C74" s="3" t="inlineStr">
        <is>
          <t>Hyvia Crème</t>
        </is>
      </c>
      <c r="D74" s="3" t="inlineStr">
        <is>
          <t>Moisturizer</t>
        </is>
      </c>
      <c r="E74" s="3" t="inlineStr">
        <is>
          <t>Other Verified / To Expand</t>
        </is>
      </c>
      <c r="F74" s="3" t="inlineStr">
        <is>
          <t>Hydration cream positioning</t>
        </is>
      </c>
      <c r="G74" s="3" t="inlineStr">
        <is>
          <t>Dryness, barrier support</t>
        </is>
      </c>
      <c r="H74" s="3" t="inlineStr">
        <is>
          <t>Depends on product</t>
        </is>
      </c>
      <c r="I74" s="3" t="inlineStr">
        <is>
          <t>Per label</t>
        </is>
      </c>
      <c r="J74" s="3" t="inlineStr">
        <is>
          <t>Verify contraindications and ingredient list before recommendation</t>
        </is>
      </c>
      <c r="K74" s="3" t="inlineStr">
        <is>
          <t>Use only when category matches skin finding and product is in verified DB</t>
        </is>
      </c>
      <c r="L74" s="3" t="inlineStr">
        <is>
          <t>Varies</t>
        </is>
      </c>
      <c r="M74" s="3" t="inlineStr">
        <is>
          <t>Medium-High</t>
        </is>
      </c>
      <c r="N74" s="3" t="inlineStr">
        <is>
          <t>Needs product-page verification before app launch</t>
        </is>
      </c>
      <c r="O74" s="4" t="inlineStr">
        <is>
          <t>https://www.epicutis.com</t>
        </is>
      </c>
      <c r="P74" s="3" t="inlineStr">
        <is>
          <t>Added as secondary expansion brand/product; confirm exact ingredient panel before using in production.</t>
        </is>
      </c>
      <c r="Q74" s="11" t="n"/>
      <c r="R74" s="11" t="n"/>
      <c r="S74" s="11" t="n"/>
      <c r="T74" s="12" t="inlineStr">
        <is>
          <t>Unknown</t>
        </is>
      </c>
      <c r="U74" s="11" t="n"/>
      <c r="V74" s="11" t="n"/>
      <c r="W74" s="11" t="n"/>
      <c r="X74" s="11" t="n"/>
      <c r="Y74" s="13" t="inlineStr">
        <is>
          <t>Not reviewed</t>
        </is>
      </c>
      <c r="Z74" s="11" t="n"/>
      <c r="AA74" s="11" t="n"/>
      <c r="AB74" s="11" t="n"/>
      <c r="AC74" s="14" t="inlineStr">
        <is>
          <t>research_only</t>
        </is>
      </c>
      <c r="AD74" s="15" t="inlineStr">
        <is>
          <t>Needs product-page verification before app launch.</t>
        </is>
      </c>
      <c r="AE74" s="14" t="n">
        <v>4</v>
      </c>
    </row>
    <row r="75" ht="42" customHeight="1">
      <c r="A75" s="3" t="n">
        <v>2</v>
      </c>
      <c r="B75" s="3" t="inlineStr">
        <is>
          <t>Calecim</t>
        </is>
      </c>
      <c r="C75" s="3" t="inlineStr">
        <is>
          <t>Professional Serum</t>
        </is>
      </c>
      <c r="D75" s="3" t="inlineStr">
        <is>
          <t>Stem cell/growth factor serum</t>
        </is>
      </c>
      <c r="E75" s="3" t="inlineStr">
        <is>
          <t>Other Verified / To Expand</t>
        </is>
      </c>
      <c r="F75" s="3" t="inlineStr">
        <is>
          <t>PTT-6 stem cell protein positioning</t>
        </is>
      </c>
      <c r="G75" s="3" t="inlineStr">
        <is>
          <t>Post-procedure, aging, repair</t>
        </is>
      </c>
      <c r="H75" s="3" t="inlineStr">
        <is>
          <t>Depends on product</t>
        </is>
      </c>
      <c r="I75" s="3" t="inlineStr">
        <is>
          <t>Per label</t>
        </is>
      </c>
      <c r="J75" s="3" t="inlineStr">
        <is>
          <t>Verify contraindications and ingredient list before recommendation</t>
        </is>
      </c>
      <c r="K75" s="3" t="inlineStr">
        <is>
          <t>Use only when category matches skin finding and product is in verified DB</t>
        </is>
      </c>
      <c r="L75" s="3" t="inlineStr">
        <is>
          <t>Varies</t>
        </is>
      </c>
      <c r="M75" s="3" t="inlineStr">
        <is>
          <t>Medium-High</t>
        </is>
      </c>
      <c r="N75" s="3" t="inlineStr">
        <is>
          <t>Needs product-page verification before app launch</t>
        </is>
      </c>
      <c r="O75" s="4" t="inlineStr">
        <is>
          <t>https://www.calecimprofessional.com</t>
        </is>
      </c>
      <c r="P75" s="3" t="inlineStr">
        <is>
          <t>Added as secondary expansion brand/product; confirm exact ingredient panel before using in production.</t>
        </is>
      </c>
      <c r="Q75" s="11" t="n"/>
      <c r="R75" s="11" t="n"/>
      <c r="S75" s="11" t="n"/>
      <c r="T75" s="12" t="inlineStr">
        <is>
          <t>Unknown</t>
        </is>
      </c>
      <c r="U75" s="11" t="n"/>
      <c r="V75" s="11" t="n"/>
      <c r="W75" s="11" t="n"/>
      <c r="X75" s="11" t="n"/>
      <c r="Y75" s="17" t="inlineStr">
        <is>
          <t>PRACTITIONER ONLY (provisional)</t>
        </is>
      </c>
      <c r="Z75" s="11" t="n"/>
      <c r="AA75" s="11" t="n"/>
      <c r="AB75" s="11" t="n"/>
      <c r="AC75" s="14" t="inlineStr">
        <is>
          <t>research_only</t>
        </is>
      </c>
      <c r="AD75" s="15" t="inlineStr">
        <is>
          <t>Needs product-page verification before app launch.</t>
        </is>
      </c>
      <c r="AE75" s="14" t="n">
        <v>4</v>
      </c>
    </row>
    <row r="76" ht="42" customHeight="1">
      <c r="A76" s="3" t="n">
        <v>2</v>
      </c>
      <c r="B76" s="3" t="inlineStr">
        <is>
          <t>Calecim</t>
        </is>
      </c>
      <c r="C76" s="3" t="inlineStr">
        <is>
          <t>Multi-Action Cream</t>
        </is>
      </c>
      <c r="D76" s="3" t="inlineStr">
        <is>
          <t>Cream</t>
        </is>
      </c>
      <c r="E76" s="3" t="inlineStr">
        <is>
          <t>Other Verified / To Expand</t>
        </is>
      </c>
      <c r="F76" s="3" t="inlineStr">
        <is>
          <t>Stem cell protein positioning</t>
        </is>
      </c>
      <c r="G76" s="3" t="inlineStr">
        <is>
          <t>Barrier, rejuvenation, mature skin</t>
        </is>
      </c>
      <c r="H76" s="3" t="inlineStr">
        <is>
          <t>Depends on product</t>
        </is>
      </c>
      <c r="I76" s="3" t="inlineStr">
        <is>
          <t>Per label</t>
        </is>
      </c>
      <c r="J76" s="3" t="inlineStr">
        <is>
          <t>Verify contraindications and ingredient list before recommendation</t>
        </is>
      </c>
      <c r="K76" s="3" t="inlineStr">
        <is>
          <t>Use only when category matches skin finding and product is in verified DB</t>
        </is>
      </c>
      <c r="L76" s="3" t="inlineStr">
        <is>
          <t>Varies</t>
        </is>
      </c>
      <c r="M76" s="3" t="inlineStr">
        <is>
          <t>Medium-High</t>
        </is>
      </c>
      <c r="N76" s="3" t="inlineStr">
        <is>
          <t>Needs product-page verification before app launch</t>
        </is>
      </c>
      <c r="O76" s="4" t="inlineStr">
        <is>
          <t>https://www.calecimprofessional.com</t>
        </is>
      </c>
      <c r="P76" s="3" t="inlineStr">
        <is>
          <t>Added as secondary expansion brand/product; confirm exact ingredient panel before using in production.</t>
        </is>
      </c>
      <c r="Q76" s="11" t="n"/>
      <c r="R76" s="11" t="n"/>
      <c r="S76" s="11" t="n"/>
      <c r="T76" s="12" t="inlineStr">
        <is>
          <t>Unknown</t>
        </is>
      </c>
      <c r="U76" s="11" t="n"/>
      <c r="V76" s="11" t="n"/>
      <c r="W76" s="11" t="n"/>
      <c r="X76" s="11" t="n"/>
      <c r="Y76" s="17" t="inlineStr">
        <is>
          <t>PRACTITIONER ONLY (provisional)</t>
        </is>
      </c>
      <c r="Z76" s="11" t="n"/>
      <c r="AA76" s="11" t="n"/>
      <c r="AB76" s="11" t="n"/>
      <c r="AC76" s="14" t="inlineStr">
        <is>
          <t>research_only</t>
        </is>
      </c>
      <c r="AD76" s="15" t="inlineStr">
        <is>
          <t>Needs product-page verification before app launch.</t>
        </is>
      </c>
      <c r="AE76" s="14" t="n">
        <v>4</v>
      </c>
    </row>
    <row r="77" ht="42" customHeight="1">
      <c r="A77" s="3" t="n">
        <v>2</v>
      </c>
      <c r="B77" s="3" t="inlineStr">
        <is>
          <t>Plated Skin Science</t>
        </is>
      </c>
      <c r="C77" s="3" t="inlineStr">
        <is>
          <t>Intense Serum</t>
        </is>
      </c>
      <c r="D77" s="3" t="inlineStr">
        <is>
          <t>Exosome serum</t>
        </is>
      </c>
      <c r="E77" s="3" t="inlineStr">
        <is>
          <t>Other Verified / To Expand</t>
        </is>
      </c>
      <c r="F77" s="3" t="inlineStr">
        <is>
          <t>Platelet-derived exosome positioning</t>
        </is>
      </c>
      <c r="G77" s="3" t="inlineStr">
        <is>
          <t>Post-treatment, aging, recovery</t>
        </is>
      </c>
      <c r="H77" s="3" t="inlineStr">
        <is>
          <t>Depends on product</t>
        </is>
      </c>
      <c r="I77" s="3" t="inlineStr">
        <is>
          <t>Per label</t>
        </is>
      </c>
      <c r="J77" s="3" t="inlineStr">
        <is>
          <t>Verify contraindications and ingredient list before recommendation</t>
        </is>
      </c>
      <c r="K77" s="3" t="inlineStr">
        <is>
          <t>Use only when category matches skin finding and product is in verified DB</t>
        </is>
      </c>
      <c r="L77" s="3" t="inlineStr">
        <is>
          <t>Varies</t>
        </is>
      </c>
      <c r="M77" s="3" t="inlineStr">
        <is>
          <t>Medium-High</t>
        </is>
      </c>
      <c r="N77" s="3" t="inlineStr">
        <is>
          <t>Needs product-page verification before app launch</t>
        </is>
      </c>
      <c r="O77" s="4" t="inlineStr">
        <is>
          <t>https://www.platedskinscience.com</t>
        </is>
      </c>
      <c r="P77" s="3" t="inlineStr">
        <is>
          <t>Added as secondary expansion brand/product; confirm exact ingredient panel before using in production.</t>
        </is>
      </c>
      <c r="Q77" s="11" t="n"/>
      <c r="R77" s="11" t="n"/>
      <c r="S77" s="11" t="n"/>
      <c r="T77" s="12" t="inlineStr">
        <is>
          <t>Unknown</t>
        </is>
      </c>
      <c r="U77" s="11" t="n"/>
      <c r="V77" s="11" t="n"/>
      <c r="W77" s="11" t="n"/>
      <c r="X77" s="11" t="n"/>
      <c r="Y77" s="17" t="inlineStr">
        <is>
          <t>PRACTITIONER ONLY (provisional)</t>
        </is>
      </c>
      <c r="Z77" s="11" t="n"/>
      <c r="AA77" s="11" t="n"/>
      <c r="AB77" s="11" t="n"/>
      <c r="AC77" s="14" t="inlineStr">
        <is>
          <t>research_only</t>
        </is>
      </c>
      <c r="AD77" s="15" t="inlineStr">
        <is>
          <t>Needs product-page verification before app launch.</t>
        </is>
      </c>
      <c r="AE77" s="14" t="n">
        <v>4</v>
      </c>
    </row>
    <row r="78" ht="42" customHeight="1">
      <c r="A78" s="3" t="n">
        <v>2</v>
      </c>
      <c r="B78" s="3" t="inlineStr">
        <is>
          <t>DefenAge</t>
        </is>
      </c>
      <c r="C78" s="3" t="inlineStr">
        <is>
          <t>8-in-1 BioSerum</t>
        </is>
      </c>
      <c r="D78" s="3" t="inlineStr">
        <is>
          <t>Serum</t>
        </is>
      </c>
      <c r="E78" s="3" t="inlineStr">
        <is>
          <t>Other Verified / To Expand</t>
        </is>
      </c>
      <c r="F78" s="3" t="inlineStr">
        <is>
          <t>Defensin positioning</t>
        </is>
      </c>
      <c r="G78" s="3" t="inlineStr">
        <is>
          <t>Texture, aging, renewal</t>
        </is>
      </c>
      <c r="H78" s="3" t="inlineStr">
        <is>
          <t>Depends on product</t>
        </is>
      </c>
      <c r="I78" s="3" t="inlineStr">
        <is>
          <t>Per label</t>
        </is>
      </c>
      <c r="J78" s="3" t="inlineStr">
        <is>
          <t>Verify contraindications and ingredient list before recommendation</t>
        </is>
      </c>
      <c r="K78" s="3" t="inlineStr">
        <is>
          <t>Use only when category matches skin finding and product is in verified DB</t>
        </is>
      </c>
      <c r="L78" s="3" t="inlineStr">
        <is>
          <t>Varies</t>
        </is>
      </c>
      <c r="M78" s="3" t="inlineStr">
        <is>
          <t>Medium-High</t>
        </is>
      </c>
      <c r="N78" s="3" t="inlineStr">
        <is>
          <t>Needs product-page verification before app launch</t>
        </is>
      </c>
      <c r="O78" s="4" t="inlineStr">
        <is>
          <t>https://www.defenage.com</t>
        </is>
      </c>
      <c r="P78" s="3" t="inlineStr">
        <is>
          <t>Added as secondary expansion brand/product; confirm exact ingredient panel before using in production.</t>
        </is>
      </c>
      <c r="Q78" s="11" t="n"/>
      <c r="R78" s="11" t="n"/>
      <c r="S78" s="11" t="n"/>
      <c r="T78" s="12" t="inlineStr">
        <is>
          <t>Unknown</t>
        </is>
      </c>
      <c r="U78" s="11" t="n"/>
      <c r="V78" s="11" t="n"/>
      <c r="W78" s="11" t="n"/>
      <c r="X78" s="11" t="n"/>
      <c r="Y78" s="17" t="inlineStr">
        <is>
          <t>PRACTITIONER ONLY (provisional)</t>
        </is>
      </c>
      <c r="Z78" s="11" t="n"/>
      <c r="AA78" s="11" t="n"/>
      <c r="AB78" s="11" t="n"/>
      <c r="AC78" s="14" t="inlineStr">
        <is>
          <t>research_only</t>
        </is>
      </c>
      <c r="AD78" s="15" t="inlineStr">
        <is>
          <t>Needs product-page verification before app launch.</t>
        </is>
      </c>
      <c r="AE78" s="14" t="n">
        <v>4</v>
      </c>
    </row>
    <row r="79" ht="42" customHeight="1">
      <c r="A79" s="3" t="n">
        <v>2</v>
      </c>
      <c r="B79" s="3" t="inlineStr">
        <is>
          <t>HigherDOSE</t>
        </is>
      </c>
      <c r="C79" s="3" t="inlineStr">
        <is>
          <t>Red Light Face Mask</t>
        </is>
      </c>
      <c r="D79" s="3" t="inlineStr">
        <is>
          <t>Device</t>
        </is>
      </c>
      <c r="E79" s="3" t="inlineStr">
        <is>
          <t>Other Verified / To Expand</t>
        </is>
      </c>
      <c r="F79" s="3" t="inlineStr">
        <is>
          <t>Red/NIR light device</t>
        </is>
      </c>
      <c r="G79" s="3" t="inlineStr">
        <is>
          <t>Inflammation, collagen support, recovery</t>
        </is>
      </c>
      <c r="H79" s="3" t="inlineStr">
        <is>
          <t>Depends on product</t>
        </is>
      </c>
      <c r="I79" s="3" t="inlineStr">
        <is>
          <t>Per label</t>
        </is>
      </c>
      <c r="J79" s="3" t="inlineStr">
        <is>
          <t>Verify contraindications and ingredient list before recommendation</t>
        </is>
      </c>
      <c r="K79" s="3" t="inlineStr">
        <is>
          <t>Use only when category matches skin finding and product is in verified DB</t>
        </is>
      </c>
      <c r="L79" s="3" t="inlineStr">
        <is>
          <t>Varies</t>
        </is>
      </c>
      <c r="M79" s="3" t="inlineStr">
        <is>
          <t>Medium-High</t>
        </is>
      </c>
      <c r="N79" s="3" t="inlineStr">
        <is>
          <t>Needs product-page verification before app launch</t>
        </is>
      </c>
      <c r="O79" s="4" t="inlineStr">
        <is>
          <t>https://www.higherdose.com</t>
        </is>
      </c>
      <c r="P79" s="3" t="inlineStr">
        <is>
          <t>Added as secondary expansion brand/product; confirm exact ingredient panel before using in production.</t>
        </is>
      </c>
      <c r="Q79" s="11" t="n"/>
      <c r="R79" s="11" t="n"/>
      <c r="S79" s="11" t="n"/>
      <c r="T79" s="12" t="inlineStr">
        <is>
          <t>Unknown</t>
        </is>
      </c>
      <c r="U79" s="11" t="n"/>
      <c r="V79" s="11" t="n"/>
      <c r="W79" s="11" t="n"/>
      <c r="X79" s="11" t="n"/>
      <c r="Y79" s="17" t="inlineStr">
        <is>
          <t>OUT OF SCOPE — device</t>
        </is>
      </c>
      <c r="Z79" s="11" t="n"/>
      <c r="AA79" s="11" t="n"/>
      <c r="AB79" s="11" t="n"/>
      <c r="AC79" s="14" t="inlineStr">
        <is>
          <t>out_of_scope</t>
        </is>
      </c>
      <c r="AD79" s="16" t="inlineStr">
        <is>
          <t>OUT OF SCOPE for the topical catalog: device. Identity-only research; no label facts to capture.</t>
        </is>
      </c>
      <c r="AE79" s="14" t="inlineStr">
        <is>
          <t>skip</t>
        </is>
      </c>
    </row>
    <row r="80" ht="42" customHeight="1">
      <c r="A80" s="3" t="n">
        <v>2</v>
      </c>
      <c r="B80" s="3" t="inlineStr">
        <is>
          <t>ZIIP</t>
        </is>
      </c>
      <c r="C80" s="3" t="inlineStr">
        <is>
          <t>Halo</t>
        </is>
      </c>
      <c r="D80" s="3" t="inlineStr">
        <is>
          <t>Microcurrent device</t>
        </is>
      </c>
      <c r="E80" s="3" t="inlineStr">
        <is>
          <t>Other Verified / To Expand</t>
        </is>
      </c>
      <c r="F80" s="3" t="inlineStr">
        <is>
          <t>Microcurrent / nanocurrent device</t>
        </is>
      </c>
      <c r="G80" s="3" t="inlineStr">
        <is>
          <t>Firmness, lifting, tone</t>
        </is>
      </c>
      <c r="H80" s="3" t="inlineStr">
        <is>
          <t>Depends on product</t>
        </is>
      </c>
      <c r="I80" s="3" t="inlineStr">
        <is>
          <t>Per label</t>
        </is>
      </c>
      <c r="J80" s="3" t="inlineStr">
        <is>
          <t>Verify contraindications and ingredient list before recommendation</t>
        </is>
      </c>
      <c r="K80" s="3" t="inlineStr">
        <is>
          <t>Use only when category matches skin finding and product is in verified DB</t>
        </is>
      </c>
      <c r="L80" s="3" t="inlineStr">
        <is>
          <t>Varies</t>
        </is>
      </c>
      <c r="M80" s="3" t="inlineStr">
        <is>
          <t>Medium-High</t>
        </is>
      </c>
      <c r="N80" s="3" t="inlineStr">
        <is>
          <t>Needs product-page verification before app launch</t>
        </is>
      </c>
      <c r="O80" s="4" t="inlineStr">
        <is>
          <t>https://www.ziipbeauty.com</t>
        </is>
      </c>
      <c r="P80" s="3" t="inlineStr">
        <is>
          <t>Added as secondary expansion brand/product; confirm exact ingredient panel before using in production.</t>
        </is>
      </c>
      <c r="Q80" s="11" t="n"/>
      <c r="R80" s="11" t="n"/>
      <c r="S80" s="11" t="n"/>
      <c r="T80" s="12" t="inlineStr">
        <is>
          <t>Unknown</t>
        </is>
      </c>
      <c r="U80" s="11" t="n"/>
      <c r="V80" s="11" t="n"/>
      <c r="W80" s="11" t="n"/>
      <c r="X80" s="11" t="n"/>
      <c r="Y80" s="17" t="inlineStr">
        <is>
          <t>OUT OF SCOPE — device</t>
        </is>
      </c>
      <c r="Z80" s="11" t="n"/>
      <c r="AA80" s="11" t="n"/>
      <c r="AB80" s="11" t="n"/>
      <c r="AC80" s="14" t="inlineStr">
        <is>
          <t>out_of_scope</t>
        </is>
      </c>
      <c r="AD80" s="16" t="inlineStr">
        <is>
          <t>OUT OF SCOPE for the topical catalog: device. Identity-only research; no label facts to capture.</t>
        </is>
      </c>
      <c r="AE80" s="14" t="inlineStr">
        <is>
          <t>skip</t>
        </is>
      </c>
    </row>
    <row r="81" ht="42" customHeight="1">
      <c r="A81" s="3" t="n">
        <v>2</v>
      </c>
      <c r="B81" s="3" t="inlineStr">
        <is>
          <t>Nutrafol</t>
        </is>
      </c>
      <c r="C81" s="3" t="inlineStr">
        <is>
          <t>Women / Men Hair Growth Nutraceutical</t>
        </is>
      </c>
      <c r="D81" s="3" t="inlineStr">
        <is>
          <t>Supplement</t>
        </is>
      </c>
      <c r="E81" s="3" t="inlineStr">
        <is>
          <t>Other Verified / To Expand</t>
        </is>
      </c>
      <c r="F81" s="3" t="inlineStr">
        <is>
          <t>Hair growth nutraceutical positioning</t>
        </is>
      </c>
      <c r="G81" s="3" t="inlineStr">
        <is>
          <t>Hair thinning support</t>
        </is>
      </c>
      <c r="H81" s="3" t="inlineStr">
        <is>
          <t>Depends on product</t>
        </is>
      </c>
      <c r="I81" s="3" t="inlineStr">
        <is>
          <t>Per label</t>
        </is>
      </c>
      <c r="J81" s="3" t="inlineStr">
        <is>
          <t>Verify contraindications and ingredient list before recommendation</t>
        </is>
      </c>
      <c r="K81" s="3" t="inlineStr">
        <is>
          <t>Use only when category matches skin finding and product is in verified DB</t>
        </is>
      </c>
      <c r="L81" s="3" t="inlineStr">
        <is>
          <t>Varies</t>
        </is>
      </c>
      <c r="M81" s="3" t="inlineStr">
        <is>
          <t>Medium-High</t>
        </is>
      </c>
      <c r="N81" s="3" t="inlineStr">
        <is>
          <t>Needs product-page verification before app launch</t>
        </is>
      </c>
      <c r="O81" s="4" t="inlineStr">
        <is>
          <t>https://nutrafol.com</t>
        </is>
      </c>
      <c r="P81" s="3" t="inlineStr">
        <is>
          <t>Added as secondary expansion brand/product; confirm exact ingredient panel before using in production.</t>
        </is>
      </c>
      <c r="Q81" s="11" t="n"/>
      <c r="R81" s="11" t="n"/>
      <c r="S81" s="11" t="n"/>
      <c r="T81" s="12" t="inlineStr">
        <is>
          <t>Unknown</t>
        </is>
      </c>
      <c r="U81" s="11" t="n"/>
      <c r="V81" s="11" t="n"/>
      <c r="W81" s="11" t="n"/>
      <c r="X81" s="11" t="n"/>
      <c r="Y81" s="17" t="inlineStr">
        <is>
          <t>OUT OF SCOPE — ingestible</t>
        </is>
      </c>
      <c r="Z81" s="11" t="n"/>
      <c r="AA81" s="11" t="n"/>
      <c r="AB81" s="11" t="n"/>
      <c r="AC81" s="14" t="inlineStr">
        <is>
          <t>blocked</t>
        </is>
      </c>
      <c r="AD81" s="16" t="inlineStr">
        <is>
          <t>ROW MUST BE SPLIT (Phase 9F): one row covering two products with materially different panels — calcium present on one, absent on the other.</t>
        </is>
      </c>
      <c r="AE81" s="14" t="inlineStr">
        <is>
          <t>skip</t>
        </is>
      </c>
    </row>
    <row r="82" ht="42" customHeight="1">
      <c r="A82" s="3" t="n">
        <v>2</v>
      </c>
      <c r="B82" s="3" t="inlineStr">
        <is>
          <t>Nordic Naturals</t>
        </is>
      </c>
      <c r="C82" s="3" t="inlineStr">
        <is>
          <t>ProOmega 2000</t>
        </is>
      </c>
      <c r="D82" s="3" t="inlineStr">
        <is>
          <t>Supplement</t>
        </is>
      </c>
      <c r="E82" s="3" t="inlineStr">
        <is>
          <t>Other Verified / To Expand</t>
        </is>
      </c>
      <c r="F82" s="3" t="inlineStr">
        <is>
          <t>Omega-3 EPA/DHA</t>
        </is>
      </c>
      <c r="G82" s="3" t="inlineStr">
        <is>
          <t>Inflammation, skin barrier, dryness support</t>
        </is>
      </c>
      <c r="H82" s="3" t="inlineStr">
        <is>
          <t>Depends on product</t>
        </is>
      </c>
      <c r="I82" s="3" t="inlineStr">
        <is>
          <t>Per label</t>
        </is>
      </c>
      <c r="J82" s="3" t="inlineStr">
        <is>
          <t>Verify contraindications and ingredient list before recommendation</t>
        </is>
      </c>
      <c r="K82" s="3" t="inlineStr">
        <is>
          <t>Use only when category matches skin finding and product is in verified DB</t>
        </is>
      </c>
      <c r="L82" s="3" t="inlineStr">
        <is>
          <t>Varies</t>
        </is>
      </c>
      <c r="M82" s="3" t="inlineStr">
        <is>
          <t>Medium-High</t>
        </is>
      </c>
      <c r="N82" s="3" t="inlineStr">
        <is>
          <t>Needs product-page verification before app launch</t>
        </is>
      </c>
      <c r="O82" s="4" t="inlineStr">
        <is>
          <t>https://www.nordic.com</t>
        </is>
      </c>
      <c r="P82" s="3" t="inlineStr">
        <is>
          <t>Added as secondary expansion brand/product; confirm exact ingredient panel before using in production.</t>
        </is>
      </c>
      <c r="Q82" s="11" t="n"/>
      <c r="R82" s="11" t="n"/>
      <c r="S82" s="11" t="n"/>
      <c r="T82" s="12" t="inlineStr">
        <is>
          <t>Unknown</t>
        </is>
      </c>
      <c r="U82" s="11" t="n"/>
      <c r="V82" s="11" t="n"/>
      <c r="W82" s="11" t="n"/>
      <c r="X82" s="11" t="n"/>
      <c r="Y82" s="17" t="inlineStr">
        <is>
          <t>OUT OF SCOPE — ingestible</t>
        </is>
      </c>
      <c r="Z82" s="11" t="n"/>
      <c r="AA82" s="11" t="n"/>
      <c r="AB82" s="11" t="n"/>
      <c r="AC82" s="14" t="inlineStr">
        <is>
          <t>out_of_scope</t>
        </is>
      </c>
      <c r="AD82" s="16" t="inlineStr">
        <is>
          <t>OUT OF SCOPE: ingestible supplement. vAIne MVP excludes supplements.</t>
        </is>
      </c>
      <c r="AE82" s="14" t="inlineStr">
        <is>
          <t>skip</t>
        </is>
      </c>
    </row>
  </sheetData>
  <autoFilter ref="A1:P82"/>
  <dataValidations count="4">
    <dataValidation sqref="T2:T82" showDropDown="0" showInputMessage="0" showErrorMessage="0" allowBlank="1" type="list">
      <formula1>"Yes,No,Unknown"</formula1>
    </dataValidation>
    <dataValidation sqref="U2:U82" showDropDown="0" showInputMessage="0" showErrorMessage="0" allowBlank="1" type="list">
      <formula1>"Full INCI checked,Label image read,Brand claim only,Not checked"</formula1>
    </dataValidation>
    <dataValidation sqref="Y2:Y82" showDropDown="0" showInputMessage="0" showErrorMessage="0" allowBlank="1" type="list">
      <formula1>"AVOID (provisional),CAUTION (provisional),PRACTITIONER ONLY (provisional),NO KNOWN CONCERN,OUT OF SCOPE — ingestible,OUT OF SCOPE — device,Not reviewed,REVIEWED — avoid,REVIEWED — caution,REVIEWED — no known concern"</formula1>
    </dataValidation>
    <dataValidation sqref="AC2:AC82" showDropDown="0" showInputMessage="0" showErrorMessage="0" allowBlank="1" type="list">
      <formula1>"research_only,identity_reviewed,safety_reviewed,catalog_approved,blocked,out_of_scope"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55" customWidth="1" min="4" max="4"/>
    <col width="45" customWidth="1" min="5" max="5"/>
    <col width="60" customWidth="1" min="6" max="6"/>
  </cols>
  <sheetData>
    <row r="1" ht="38" customHeight="1">
      <c r="A1" s="5" t="inlineStr">
        <is>
          <t>AI Skin Finding</t>
        </is>
      </c>
      <c r="B1" s="5" t="inlineStr">
        <is>
          <t>Threshold / Trigger</t>
        </is>
      </c>
      <c r="C1" s="5" t="inlineStr">
        <is>
          <t>Primary Category</t>
        </is>
      </c>
      <c r="D1" s="5" t="inlineStr">
        <is>
          <t>Preferred Products From Core Lines</t>
        </is>
      </c>
      <c r="E1" s="5" t="inlineStr">
        <is>
          <t>Avoid / Caution</t>
        </is>
      </c>
      <c r="F1" s="5" t="inlineStr">
        <is>
          <t>Example Recommendation Copy</t>
        </is>
      </c>
    </row>
    <row r="2">
      <c r="A2" s="6" t="inlineStr">
        <is>
          <t>Barrier stress / redness</t>
        </is>
      </c>
      <c r="B2" s="6" t="inlineStr">
        <is>
          <t>Barrier score &lt;75 or visible redness</t>
        </is>
      </c>
      <c r="C2" s="6" t="inlineStr">
        <is>
          <t>Barrier serum + moisturizer</t>
        </is>
      </c>
      <c r="D2" s="6" t="inlineStr">
        <is>
          <t>Young Goose BIO-BARRIER; Alitura The Moisturizer; Vitali Skin Awakening Moisturizer; Epicutis Lipid Serum</t>
        </is>
      </c>
      <c r="E2" s="6" t="inlineStr">
        <is>
          <t>Avoid aggressive exfoliation, retinoids, strong acids until barrier improves</t>
        </is>
      </c>
      <c r="F2" s="6" t="inlineStr">
        <is>
          <t>Your skin appears mildly reactive/barrier-stressed, so prioritize calming barrier repair before aggressive resurfacing.</t>
        </is>
      </c>
    </row>
    <row r="3">
      <c r="A3" s="6" t="inlineStr">
        <is>
          <t>Dehydration</t>
        </is>
      </c>
      <c r="B3" s="6" t="inlineStr">
        <is>
          <t>Hydration score &lt;75 or fine crepey texture</t>
        </is>
      </c>
      <c r="C3" s="6" t="inlineStr">
        <is>
          <t>Essence + moisturizer + HA support</t>
        </is>
      </c>
      <c r="D3" s="6" t="inlineStr">
        <is>
          <t>Young Goose AMPLIFYING ESSENCE; Alitura Night Cream; Vitali Skin Awakening Moisturizer</t>
        </is>
      </c>
      <c r="E3" s="6" t="inlineStr">
        <is>
          <t>Avoid drying cleansers and over-exfoliation</t>
        </is>
      </c>
      <c r="F3" s="6" t="inlineStr">
        <is>
          <t>Hydration support should be layered: gentle cleanse, hydrating essence, barrier moisturizer.</t>
        </is>
      </c>
    </row>
    <row r="4">
      <c r="A4" s="6" t="inlineStr">
        <is>
          <t>Fine lines / collagen support</t>
        </is>
      </c>
      <c r="B4" s="6" t="inlineStr">
        <is>
          <t>Fine lines, elasticity &lt;75</t>
        </is>
      </c>
      <c r="C4" s="6" t="inlineStr">
        <is>
          <t>Copper peptides / growth factors / exosomes</t>
        </is>
      </c>
      <c r="D4" s="6" t="inlineStr">
        <is>
          <t>Vitali 2% or 3% GHK-Cu Serum; Alitura Gold Serum; Young Goose YOUTH RESET; Calecim Professional Serum</t>
        </is>
      </c>
      <c r="E4" s="6" t="inlineStr">
        <is>
          <t>Do not stack too many strong actives at once</t>
        </is>
      </c>
      <c r="F4" s="6" t="inlineStr">
        <is>
          <t>Copper peptides or regenerative serums fit best when collagen support and firmness are priorities.</t>
        </is>
      </c>
    </row>
    <row r="5">
      <c r="A5" s="6" t="inlineStr">
        <is>
          <t>Pigmentation / sun exposure</t>
        </is>
      </c>
      <c r="B5" s="6" t="inlineStr">
        <is>
          <t>Pigment score high or uneven tone</t>
        </is>
      </c>
      <c r="C5" s="6" t="inlineStr">
        <is>
          <t>Vitamin C + SPF + brightening</t>
        </is>
      </c>
      <c r="D5" s="6" t="inlineStr">
        <is>
          <t>Alitura Gold Serum; Alitura Clay Mask; Young Goose BIO-SHIELD SPF 40; SkinBetter Alto Advanced</t>
        </is>
      </c>
      <c r="E5" s="6" t="inlineStr">
        <is>
          <t>Caution acids if skin is inflamed</t>
        </is>
      </c>
      <c r="F5" s="6" t="inlineStr">
        <is>
          <t>Daily SPF plus antioxidant support is non-negotiable for pigment control.</t>
        </is>
      </c>
    </row>
    <row r="6">
      <c r="A6" s="6" t="inlineStr">
        <is>
          <t>Oily T-zone / visible pores</t>
        </is>
      </c>
      <c r="B6" s="6" t="inlineStr">
        <is>
          <t>Oil score high in T-zone</t>
        </is>
      </c>
      <c r="C6" s="6" t="inlineStr">
        <is>
          <t>Gentle cleanser + mask/exfoliant</t>
        </is>
      </c>
      <c r="D6" s="6" t="inlineStr">
        <is>
          <t>Young Goose ADAPTOGENIC CLEANSER; Alitura Clay Mask; Vitali Gentle Exfoliating Cleanser</t>
        </is>
      </c>
      <c r="E6" s="6" t="inlineStr">
        <is>
          <t>Avoid stripping cleansers that worsen rebound oil</t>
        </is>
      </c>
      <c r="F6" s="6" t="inlineStr">
        <is>
          <t>Use gentle cleansing daily and treatment masks/exfoliation only 1–2x weekly.</t>
        </is>
      </c>
    </row>
    <row r="7">
      <c r="A7" s="6" t="inlineStr">
        <is>
          <t>Texture / dullness</t>
        </is>
      </c>
      <c r="B7" s="6" t="inlineStr">
        <is>
          <t>Texture score &lt;75 or dullness present</t>
        </is>
      </c>
      <c r="C7" s="6" t="inlineStr">
        <is>
          <t>Exfoliation + antioxidant</t>
        </is>
      </c>
      <c r="D7" s="6" t="inlineStr">
        <is>
          <t>Alitura Meteorite Facial Scrub; Young Goose NIAPOLISH; Vitali Advanced Resurfacing 10% Lactic Formula</t>
        </is>
      </c>
      <c r="E7" s="6" t="inlineStr">
        <is>
          <t>Avoid if barrier stress/redness is high</t>
        </is>
      </c>
      <c r="F7" s="6" t="inlineStr">
        <is>
          <t>Texture work should only happen after barrier is stable.</t>
        </is>
      </c>
    </row>
    <row r="8">
      <c r="A8" s="6" t="inlineStr">
        <is>
          <t>Under-eye aging / fatigue</t>
        </is>
      </c>
      <c r="B8" s="6" t="inlineStr">
        <is>
          <t>Under-eye fine lines/darkness</t>
        </is>
      </c>
      <c r="C8" s="6" t="inlineStr">
        <is>
          <t>Eye cream</t>
        </is>
      </c>
      <c r="D8" s="6" t="inlineStr">
        <is>
          <t>Young Goose EYEC.A.R.E.; Vitali Advanced Eye &amp; Lash Formula; OneSkin OS-01 EYE</t>
        </is>
      </c>
      <c r="E8" s="6" t="inlineStr">
        <is>
          <t>Avoid acids too close to the eye</t>
        </is>
      </c>
      <c r="F8" s="6" t="inlineStr">
        <is>
          <t>Use targeted eye support rather than face actives too close to the eye.</t>
        </is>
      </c>
    </row>
    <row r="9">
      <c r="A9" s="6" t="inlineStr">
        <is>
          <t>Post-procedure / advanced recovery</t>
        </is>
      </c>
      <c r="B9" s="6" t="inlineStr">
        <is>
          <t>After microneedling/laser or high recovery needs</t>
        </is>
      </c>
      <c r="C9" s="6" t="inlineStr">
        <is>
          <t>Exosomes / growth factors</t>
        </is>
      </c>
      <c r="D9" s="6" t="inlineStr">
        <is>
          <t>Young Goose VAMPIRE EXOSOMES; Vitali Vita Zero Age Exosome Complex; Plated Intense Serum; Calecim Professional Serum</t>
        </is>
      </c>
      <c r="E9" s="6" t="inlineStr">
        <is>
          <t>Use professional guidance; avoid contaminated home microneedling</t>
        </is>
      </c>
      <c r="F9" s="6" t="inlineStr">
        <is>
          <t>For advanced recovery, use professional regenerative products and keep routine minimal.</t>
        </is>
      </c>
    </row>
    <row r="10">
      <c r="A10" s="6" t="inlineStr">
        <is>
          <t>Neck/chest aging</t>
        </is>
      </c>
      <c r="B10" s="6" t="inlineStr">
        <is>
          <t>Visible neck/chest lines, laxity, sun damage</t>
        </is>
      </c>
      <c r="C10" s="6" t="inlineStr">
        <is>
          <t>Neck/chest cream + SPF</t>
        </is>
      </c>
      <c r="D10" s="6" t="inlineStr">
        <is>
          <t>Young Goose YOUTH FIRMING NECK &amp; CHEST; Revision Intellishade SPF; Young Goose BIO-SHIELD</t>
        </is>
      </c>
      <c r="E10" s="6" t="inlineStr">
        <is>
          <t>Daily sunscreen essential</t>
        </is>
      </c>
      <c r="F10" s="6" t="inlineStr">
        <is>
          <t>Treat neck and chest like the face: antioxidant, firming support, and SPF.</t>
        </is>
      </c>
    </row>
    <row r="11">
      <c r="A11" s="6" t="inlineStr">
        <is>
          <t>Body aging / crepey skin</t>
        </is>
      </c>
      <c r="B11" s="6" t="inlineStr">
        <is>
          <t>Body dryness, crepiness</t>
        </is>
      </c>
      <c r="C11" s="6" t="inlineStr">
        <is>
          <t>Body cream / body SPF</t>
        </is>
      </c>
      <c r="D11" s="6" t="inlineStr">
        <is>
          <t>Young Goose YOUTH FIRMING BODY CREAM; Vitali Restorative Body Cream; Alitura Body Lotion</t>
        </is>
      </c>
      <c r="E11" s="6" t="inlineStr">
        <is>
          <t>Avoid actives on broken skin</t>
        </is>
      </c>
      <c r="F11" s="6" t="inlineStr">
        <is>
          <t>Body skin needs consistent moisture plus collagen-supportive ingredients.</t>
        </is>
      </c>
    </row>
  </sheetData>
  <autoFilter ref="A1:F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5" customWidth="1" min="3" max="3"/>
    <col width="65" customWidth="1" min="4" max="4"/>
    <col width="55" customWidth="1" min="5" max="5"/>
  </cols>
  <sheetData>
    <row r="1" ht="38" customHeight="1">
      <c r="A1" s="7" t="inlineStr">
        <is>
          <t>Brand</t>
        </is>
      </c>
      <c r="B1" s="7" t="inlineStr">
        <is>
          <t>Status in v2</t>
        </is>
      </c>
      <c r="C1" s="7" t="inlineStr">
        <is>
          <t>Products Included</t>
        </is>
      </c>
      <c r="D1" s="7" t="inlineStr">
        <is>
          <t>Source Evidence</t>
        </is>
      </c>
      <c r="E1" s="7" t="inlineStr">
        <is>
          <t>Expansion Needed</t>
        </is>
      </c>
    </row>
    <row r="2">
      <c r="A2" s="6" t="inlineStr">
        <is>
          <t>Young Goose</t>
        </is>
      </c>
      <c r="B2" s="6" t="inlineStr">
        <is>
          <t>Core line expanded first</t>
        </is>
      </c>
      <c r="C2" s="6" t="inlineStr">
        <is>
          <t>Main shop-all skincare products, systems, mists, SPF, eye, neck/chest, exosomes, hydration/aging systems</t>
        </is>
      </c>
      <c r="D2" s="6" t="inlineStr">
        <is>
          <t>Official shop-all page lists 61 products and the rows here capture the core skincare/system products visible from the collection page</t>
        </is>
      </c>
      <c r="E2" s="6" t="inlineStr">
        <is>
          <t>Add exact ingredient panels from each product page before production deployment</t>
        </is>
      </c>
    </row>
    <row r="3">
      <c r="A3" s="6" t="inlineStr">
        <is>
          <t>Vitali</t>
        </is>
      </c>
      <c r="B3" s="6" t="inlineStr">
        <is>
          <t>Core line expanded first</t>
        </is>
      </c>
      <c r="C3" s="6" t="inlineStr">
        <is>
          <t>All visible products from official Products page plus copper peptide collection</t>
        </is>
      </c>
      <c r="D3" s="6" t="inlineStr">
        <is>
          <t>Official product collection page lists 2%/3% GHK-Cu serums, moisturizer, eye/lash, body cream, exosome complex, exfoliant, cleanser, bundles</t>
        </is>
      </c>
      <c r="E3" s="6" t="inlineStr">
        <is>
          <t>Add exact full INCI ingredient panels and contraindication tags</t>
        </is>
      </c>
    </row>
    <row r="4">
      <c r="A4" s="6" t="inlineStr">
        <is>
          <t>Alitura</t>
        </is>
      </c>
      <c r="B4" s="6" t="inlineStr">
        <is>
          <t>Core line expanded first</t>
        </is>
      </c>
      <c r="C4" s="6" t="inlineStr">
        <is>
          <t>Core skincare, Meteorite Facial Scrub, Clay Mask, Gold Serum, Pearl Cleanser, Night Cream, Moisturizer, toner, body, kits, travel packs</t>
        </is>
      </c>
      <c r="D4" s="6" t="inlineStr">
        <is>
          <t>Official shop-all page lists products and hero actives, including Meteorite Facial Scrub and Clay Mask</t>
        </is>
      </c>
      <c r="E4" s="6" t="inlineStr">
        <is>
          <t>Add exact full INCI ingredient panels and acne/sensitivity flags</t>
        </is>
      </c>
    </row>
    <row r="5">
      <c r="A5" s="6" t="inlineStr">
        <is>
          <t>Other brands</t>
        </is>
      </c>
      <c r="B5" s="6" t="inlineStr">
        <is>
          <t>Secondary expansion</t>
        </is>
      </c>
      <c r="C5" s="6" t="inlineStr">
        <is>
          <t>OneSkin, SkinBetter, Revision, iS Clinical, Epicutis, Calecim, Plated, DefenAge, devices, supplements</t>
        </is>
      </c>
      <c r="D5" s="6" t="inlineStr">
        <is>
          <t>High-level product names included only as secondary rows</t>
        </is>
      </c>
      <c r="E5" s="6" t="inlineStr">
        <is>
          <t>Must verify individual product pages before production recommendations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65" customWidth="1" min="3" max="3"/>
    <col width="50" customWidth="1" min="4" max="4"/>
  </cols>
  <sheetData>
    <row r="1" ht="38" customHeight="1">
      <c r="A1" s="8" t="inlineStr">
        <is>
          <t>Category</t>
        </is>
      </c>
      <c r="B1" s="8" t="inlineStr">
        <is>
          <t>Best Use</t>
        </is>
      </c>
      <c r="C1" s="8" t="inlineStr">
        <is>
          <t>Core Products</t>
        </is>
      </c>
      <c r="D1" s="8" t="inlineStr">
        <is>
          <t>When Not to Use</t>
        </is>
      </c>
    </row>
    <row r="2">
      <c r="A2" s="6" t="inlineStr">
        <is>
          <t>Cleanser</t>
        </is>
      </c>
      <c r="B2" s="6" t="inlineStr">
        <is>
          <t>Daily cleansing without barrier damage</t>
        </is>
      </c>
      <c r="C2" s="6" t="inlineStr">
        <is>
          <t>Young Goose ADAPTOGENIC CLEANSER; Alitura Pearl Cleanser; Vitali Gentle Exfoliating Cleanser</t>
        </is>
      </c>
      <c r="D2" s="6" t="inlineStr">
        <is>
          <t>Avoid harsh or exfoliating cleanser if barrier is very compromised</t>
        </is>
      </c>
    </row>
    <row r="3">
      <c r="A3" s="6" t="inlineStr">
        <is>
          <t>Moisturizer / Barrier</t>
        </is>
      </c>
      <c r="B3" s="6" t="inlineStr">
        <is>
          <t>Hydration, redness, repair</t>
        </is>
      </c>
      <c r="C3" s="6" t="inlineStr">
        <is>
          <t>Young Goose YOUTH DAILY; Alitura Moisturizer; Alitura Night Cream; Vitali Skin Awakening Moisturizer; OneSkin OS-01 FACE</t>
        </is>
      </c>
      <c r="D3" s="6" t="inlineStr">
        <is>
          <t>Avoid heavy creams if acne-prone unless tolerated</t>
        </is>
      </c>
    </row>
    <row r="4">
      <c r="A4" s="6" t="inlineStr">
        <is>
          <t>Copper Peptides</t>
        </is>
      </c>
      <c r="B4" s="6" t="inlineStr">
        <is>
          <t>Collagen, firmness, repair</t>
        </is>
      </c>
      <c r="C4" s="6" t="inlineStr">
        <is>
          <t>Vitali 2%/3% GHK-Cu; Alitura Gold Serum; Vitali Skin Awakening Moisturizer</t>
        </is>
      </c>
      <c r="D4" s="6" t="inlineStr">
        <is>
          <t>Avoid over-layering with strong acids/retinoids if reactive</t>
        </is>
      </c>
    </row>
    <row r="5">
      <c r="A5" s="6" t="inlineStr">
        <is>
          <t>Exosomes / Growth Factors</t>
        </is>
      </c>
      <c r="B5" s="6" t="inlineStr">
        <is>
          <t>Advanced recovery, aging, post-procedure</t>
        </is>
      </c>
      <c r="C5" s="6" t="inlineStr">
        <is>
          <t>Young Goose VAMPIRE EXOSOMES; Vitali Vita Zero Age Exosome Complex; Plated; Calecim</t>
        </is>
      </c>
      <c r="D5" s="6" t="inlineStr">
        <is>
          <t>Use professional guidance around procedures</t>
        </is>
      </c>
    </row>
    <row r="6">
      <c r="A6" s="6" t="inlineStr">
        <is>
          <t>Exfoliation</t>
        </is>
      </c>
      <c r="B6" s="6" t="inlineStr">
        <is>
          <t>Texture, dullness, pores</t>
        </is>
      </c>
      <c r="C6" s="6" t="inlineStr">
        <is>
          <t>Alitura Meteorite Facial Scrub; Young Goose NIAPOLISH; Vitali 10% Lactic Formula</t>
        </is>
      </c>
      <c r="D6" s="6" t="inlineStr">
        <is>
          <t>Avoid if redness, irritation, rosacea flare, or barrier damage</t>
        </is>
      </c>
    </row>
    <row r="7">
      <c r="A7" s="6" t="inlineStr">
        <is>
          <t>SPF</t>
        </is>
      </c>
      <c r="B7" s="6" t="inlineStr">
        <is>
          <t>Pigmentation, UV prevention, longevity</t>
        </is>
      </c>
      <c r="C7" s="6" t="inlineStr">
        <is>
          <t>Young Goose BIO-SHIELD SPF 40; Revision Intellishade SPF</t>
        </is>
      </c>
      <c r="D7" s="6" t="inlineStr">
        <is>
          <t>Do not skip; reapply as needed</t>
        </is>
      </c>
    </row>
    <row r="8">
      <c r="A8" s="6" t="inlineStr">
        <is>
          <t>Eye Care</t>
        </is>
      </c>
      <c r="B8" s="6" t="inlineStr">
        <is>
          <t>Eye lines, fatigue, crepiness</t>
        </is>
      </c>
      <c r="C8" s="6" t="inlineStr">
        <is>
          <t>Young Goose EYEC.A.R.E.; Vitali Advanced Eye &amp; Lash; OneSkin OS-01 EYE</t>
        </is>
      </c>
      <c r="D8" s="6" t="inlineStr">
        <is>
          <t>Avoid strong face actives near eyes</t>
        </is>
      </c>
    </row>
    <row r="9">
      <c r="A9" s="6" t="inlineStr">
        <is>
          <t>Devices</t>
        </is>
      </c>
      <c r="B9" s="6" t="inlineStr">
        <is>
          <t>Firmness, circulation, collagen support</t>
        </is>
      </c>
      <c r="C9" s="6" t="inlineStr">
        <is>
          <t>HigherDOSE Red Light Face Mask; ZIIP Halo</t>
        </is>
      </c>
      <c r="D9" s="6" t="inlineStr">
        <is>
          <t>Avoid device use over active infections, irritation, or contraindicated conditions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55" customWidth="1" min="2" max="2"/>
    <col width="65" customWidth="1" min="3" max="3"/>
  </cols>
  <sheetData>
    <row r="1" ht="38" customHeight="1">
      <c r="A1" s="9" t="inlineStr">
        <is>
          <t>Brand</t>
        </is>
      </c>
      <c r="B1" s="9" t="inlineStr">
        <is>
          <t>Source URL</t>
        </is>
      </c>
      <c r="C1" s="9" t="inlineStr">
        <is>
          <t>What It Supports</t>
        </is>
      </c>
    </row>
    <row r="2">
      <c r="A2" s="6" t="inlineStr">
        <is>
          <t>Young Goose</t>
        </is>
      </c>
      <c r="B2" s="6" t="inlineStr">
        <is>
          <t>https://www.younggoose.com/collections/all</t>
        </is>
      </c>
      <c r="C2" s="6" t="inlineStr">
        <is>
          <t>Official product names, product types, pricing, and shop-all product list</t>
        </is>
      </c>
    </row>
    <row r="3">
      <c r="A3" s="6" t="inlineStr">
        <is>
          <t>Vitali</t>
        </is>
      </c>
      <c r="B3" s="6" t="inlineStr">
        <is>
          <t>https://www.vitaliskincare.com/collections/all</t>
        </is>
      </c>
      <c r="C3" s="6" t="inlineStr">
        <is>
          <t>Official product names and pricing from Products page</t>
        </is>
      </c>
    </row>
    <row r="4">
      <c r="A4" s="6" t="inlineStr">
        <is>
          <t>Vitali</t>
        </is>
      </c>
      <c r="B4" s="6" t="inlineStr">
        <is>
          <t>https://www.vitaliskincare.com/collections/copper-peptide-collection</t>
        </is>
      </c>
      <c r="C4" s="6" t="inlineStr">
        <is>
          <t>Copper peptide collection products and GHK-Cu positioning</t>
        </is>
      </c>
    </row>
    <row r="5">
      <c r="A5" s="6" t="inlineStr">
        <is>
          <t>Alitura</t>
        </is>
      </c>
      <c r="B5" s="6" t="inlineStr">
        <is>
          <t>https://alitura.com/collections/all</t>
        </is>
      </c>
      <c r="C5" s="6" t="inlineStr">
        <is>
          <t>Official product names, hero actives, kits, travel packs</t>
        </is>
      </c>
    </row>
    <row r="6">
      <c r="A6" s="6" t="inlineStr">
        <is>
          <t>OneSkin</t>
        </is>
      </c>
      <c r="B6" s="6" t="inlineStr">
        <is>
          <t>https://www.oneskin.co</t>
        </is>
      </c>
      <c r="C6" s="6" t="inlineStr">
        <is>
          <t>Secondary product expansion</t>
        </is>
      </c>
    </row>
    <row r="7">
      <c r="A7" s="6" t="inlineStr">
        <is>
          <t>SkinBetter Science</t>
        </is>
      </c>
      <c r="B7" s="6" t="inlineStr">
        <is>
          <t>https://www.skinbetter.com</t>
        </is>
      </c>
      <c r="C7" s="6" t="inlineStr">
        <is>
          <t>Secondary product expansion</t>
        </is>
      </c>
    </row>
    <row r="8">
      <c r="A8" s="6" t="inlineStr">
        <is>
          <t>Revision Skincare</t>
        </is>
      </c>
      <c r="B8" s="6" t="inlineStr">
        <is>
          <t>https://www.revisionskincare.com</t>
        </is>
      </c>
      <c r="C8" s="6" t="inlineStr">
        <is>
          <t>Secondary product expansion</t>
        </is>
      </c>
    </row>
    <row r="9">
      <c r="A9" s="6" t="inlineStr">
        <is>
          <t>iS Clinical</t>
        </is>
      </c>
      <c r="B9" s="6" t="inlineStr">
        <is>
          <t>https://www.isclinical.com</t>
        </is>
      </c>
      <c r="C9" s="6" t="inlineStr">
        <is>
          <t>Secondary product expansion</t>
        </is>
      </c>
    </row>
    <row r="10">
      <c r="A10" s="6" t="inlineStr">
        <is>
          <t>Epicutis</t>
        </is>
      </c>
      <c r="B10" s="6" t="inlineStr">
        <is>
          <t>https://www.epicutis.com</t>
        </is>
      </c>
      <c r="C10" s="6" t="inlineStr">
        <is>
          <t>Secondary product expansion</t>
        </is>
      </c>
    </row>
    <row r="11">
      <c r="A11" s="6" t="inlineStr">
        <is>
          <t>Calecim</t>
        </is>
      </c>
      <c r="B11" s="6" t="inlineStr">
        <is>
          <t>https://www.calecimprofessional.com</t>
        </is>
      </c>
      <c r="C11" s="6" t="inlineStr">
        <is>
          <t>Secondary product expansion</t>
        </is>
      </c>
    </row>
    <row r="12">
      <c r="A12" s="6" t="inlineStr">
        <is>
          <t>Plated Skin Science</t>
        </is>
      </c>
      <c r="B12" s="6" t="inlineStr">
        <is>
          <t>https://www.platedskinscience.com</t>
        </is>
      </c>
      <c r="C12" s="6" t="inlineStr">
        <is>
          <t>Secondary product expansion</t>
        </is>
      </c>
    </row>
    <row r="13">
      <c r="A13" s="6" t="inlineStr">
        <is>
          <t>DefenAge</t>
        </is>
      </c>
      <c r="B13" s="6" t="inlineStr">
        <is>
          <t>https://www.defenage.com</t>
        </is>
      </c>
      <c r="C13" s="6" t="inlineStr">
        <is>
          <t>Secondary product expansion</t>
        </is>
      </c>
    </row>
    <row r="14">
      <c r="A14" s="6" t="inlineStr">
        <is>
          <t>HigherDOSE</t>
        </is>
      </c>
      <c r="B14" s="6" t="inlineStr">
        <is>
          <t>https://www.higherdose.com</t>
        </is>
      </c>
      <c r="C14" s="6" t="inlineStr">
        <is>
          <t>Device expansion</t>
        </is>
      </c>
    </row>
    <row r="15">
      <c r="A15" s="6" t="inlineStr">
        <is>
          <t>ZIIP</t>
        </is>
      </c>
      <c r="B15" s="6" t="inlineStr">
        <is>
          <t>https://www.ziipbeauty.com</t>
        </is>
      </c>
      <c r="C15" s="6" t="inlineStr">
        <is>
          <t>Device expansion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2026-05-17T01:07:55Z</dcterms:created>
  <dcterms:modified xmlns:dcterms="http://purl.org/dc/terms/" xmlns:xsi="http://www.w3.org/2001/XMLSchema-instance" xsi:type="dcterms:W3CDTF">2026-09-05T01:23:16Z</dcterms:modified>
</cp:coreProperties>
</file>