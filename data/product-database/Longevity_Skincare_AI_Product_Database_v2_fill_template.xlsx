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Fill" sheetId="1" state="visible" r:id="rId1"/>
    <sheet xmlns:r="http://schemas.openxmlformats.org/officeDocument/2006/relationships" name="Fill Progress" sheetId="2" state="visible" r:id="rId2"/>
    <sheet xmlns:r="http://schemas.openxmlformats.org/officeDocument/2006/relationships" name="Verified_Product_DB" sheetId="3" state="visible" r:id="rId3"/>
    <sheet xmlns:r="http://schemas.openxmlformats.org/officeDocument/2006/relationships" name="AI_Logic_Map" sheetId="4" state="visible" r:id="rId4"/>
    <sheet xmlns:r="http://schemas.openxmlformats.org/officeDocument/2006/relationships" name="Brand_Coverage" sheetId="5" state="visible" r:id="rId5"/>
    <sheet xmlns:r="http://schemas.openxmlformats.org/officeDocument/2006/relationships" name="Recommendation_Categories" sheetId="6" state="visible" r:id="rId6"/>
    <sheet xmlns:r="http://schemas.openxmlformats.org/officeDocument/2006/relationships" name="Sources" sheetId="7" state="visible" r:id="rId7"/>
  </sheets>
  <definedNames>
    <definedName name="_xlnm._FilterDatabase" localSheetId="2" hidden="1">'Verified_Product_DB'!$A$1:$P$82</definedName>
    <definedName name="_xlnm._FilterDatabase" localSheetId="3" hidden="1">'AI_Logic_Map'!$A$1:$F$11</definedName>
  </definedNames>
  <calcPr calcId="124519" fullCalcOnLoad="1"/>
</workbook>
</file>

<file path=xl/styles.xml><?xml version="1.0" encoding="utf-8"?>
<styleSheet xmlns="http://schemas.openxmlformats.org/spreadsheetml/2006/main">
  <numFmts count="1">
    <numFmt numFmtId="164" formatCode="$#,##0.00"/>
  </numFmts>
  <fonts count="18">
    <font>
      <name val="Calibri"/>
      <family val="2"/>
      <color theme="1"/>
      <sz val="11"/>
      <scheme val="minor"/>
    </font>
    <font>
      <b val="1"/>
      <color rgb="00FFFFFF"/>
    </font>
    <font>
      <color rgb="00008000"/>
      <u val="single"/>
    </font>
    <font>
      <name val="Arial"/>
      <b val="1"/>
      <color rgb="00FFFFFF"/>
      <sz val="10"/>
    </font>
    <font>
      <name val="Arial"/>
      <sz val="10"/>
    </font>
    <font>
      <name val="Arial"/>
      <i val="1"/>
      <color rgb="00808080"/>
      <sz val="10"/>
    </font>
    <font>
      <name val="Arial"/>
      <sz val="9"/>
    </font>
    <font>
      <name val="Arial"/>
      <b val="1"/>
      <color rgb="00C00000"/>
      <sz val="9"/>
    </font>
    <font>
      <name val="Arial"/>
      <b val="1"/>
      <color rgb="00375623"/>
      <sz val="9"/>
    </font>
    <font>
      <name val="Arial"/>
      <b val="1"/>
      <color rgb="001F3864"/>
      <sz val="16"/>
    </font>
    <font>
      <name val="Arial"/>
      <i val="1"/>
      <sz val="9"/>
    </font>
    <font>
      <name val="Arial"/>
      <b val="1"/>
      <color rgb="001F3864"/>
      <sz val="11"/>
    </font>
    <font>
      <name val="Arial"/>
      <b val="1"/>
      <sz val="10"/>
    </font>
    <font>
      <name val="Arial"/>
      <b val="1"/>
      <color rgb="001F3864"/>
      <sz val="14"/>
    </font>
    <font>
      <name val="Arial"/>
      <b val="1"/>
      <color rgb="00C00000"/>
      <sz val="11"/>
    </font>
    <font>
      <name val="Arial"/>
      <sz val="8"/>
    </font>
    <font>
      <name val="Arial"/>
      <b val="1"/>
      <color rgb="009C0006"/>
      <sz val="9"/>
    </font>
    <font>
      <name val="Arial"/>
      <b val="1"/>
      <color rgb="00006100"/>
      <sz val="9"/>
    </font>
  </fonts>
  <fills count="15">
    <fill>
      <patternFill/>
    </fill>
    <fill>
      <patternFill patternType="gray125"/>
    </fill>
    <fill>
      <patternFill patternType="solid">
        <fgColor rgb="000B1F33"/>
      </patternFill>
    </fill>
    <fill>
      <patternFill patternType="solid">
        <fgColor rgb="00FFF2CC"/>
      </patternFill>
    </fill>
    <fill>
      <patternFill patternType="solid">
        <fgColor rgb="007030A0"/>
      </patternFill>
    </fill>
    <fill>
      <patternFill patternType="solid">
        <fgColor rgb="0000A6A6"/>
      </patternFill>
    </fill>
    <fill>
      <patternFill patternType="solid">
        <fgColor rgb="00C65911"/>
      </patternFill>
    </fill>
    <fill>
      <patternFill patternType="solid">
        <fgColor rgb="00548235"/>
      </patternFill>
    </fill>
    <fill>
      <patternFill patternType="solid">
        <fgColor rgb="00FCE4E4"/>
      </patternFill>
    </fill>
    <fill>
      <patternFill patternType="solid">
        <fgColor rgb="00E2EFDA"/>
      </patternFill>
    </fill>
    <fill>
      <patternFill patternType="solid">
        <fgColor rgb="001F3864"/>
      </patternFill>
    </fill>
    <fill>
      <patternFill patternType="solid">
        <fgColor rgb="00C6EFCE"/>
      </patternFill>
    </fill>
    <fill>
      <patternFill patternType="solid">
        <fgColor rgb="00FFC7CE"/>
      </patternFill>
    </fill>
    <fill>
      <patternFill patternType="solid">
        <fgColor rgb="00FFE699"/>
      </patternFill>
    </fill>
    <fill>
      <patternFill patternType="solid">
        <fgColor rgb="00EDEDED"/>
      </patternFill>
    </fill>
  </fills>
  <borders count="3">
    <border>
      <left/>
      <right/>
      <top/>
      <bottom/>
      <diagonal/>
    </border>
    <border>
      <bottom style="thin">
        <color rgb="00D9E2F3"/>
      </bottom>
    </border>
    <border>
      <left style="thin">
        <color rgb="00BFBFBF"/>
      </left>
      <right style="thin">
        <color rgb="00BFBFBF"/>
      </right>
      <top style="thin">
        <color rgb="00BFBFBF"/>
      </top>
      <bottom style="thin">
        <color rgb="00BFBFBF"/>
      </bottom>
    </border>
  </borders>
  <cellStyleXfs count="1">
    <xf numFmtId="0" fontId="0" fillId="0" borderId="0"/>
  </cellStyleXfs>
  <cellXfs count="46">
    <xf numFmtId="0" fontId="0" fillId="0" borderId="0" pivotButton="0" quotePrefix="0" xfId="0"/>
    <xf numFmtId="0" fontId="1" fillId="2" borderId="0"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4" borderId="0" applyAlignment="1" pivotButton="0" quotePrefix="0" xfId="0">
      <alignment vertical="top" wrapText="1"/>
    </xf>
    <xf numFmtId="0" fontId="0" fillId="0"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7" borderId="0" applyAlignment="1" pivotButton="0" quotePrefix="0" xfId="0">
      <alignment vertical="top" wrapText="1"/>
    </xf>
    <xf numFmtId="0" fontId="3" fillId="4" borderId="2" applyAlignment="1" pivotButton="0" quotePrefix="0" xfId="0">
      <alignment vertical="top" wrapText="1"/>
    </xf>
    <xf numFmtId="0" fontId="4" fillId="3" borderId="2" applyAlignment="1" pivotButton="0" quotePrefix="0" xfId="0">
      <alignment vertical="top"/>
    </xf>
    <xf numFmtId="0" fontId="5" fillId="3" borderId="2" applyAlignment="1" pivotButton="0" quotePrefix="0" xfId="0">
      <alignment vertical="top"/>
    </xf>
    <xf numFmtId="0" fontId="5" fillId="3" borderId="2" applyAlignment="1" pivotButton="0" quotePrefix="0" xfId="0">
      <alignment vertical="top" wrapText="1"/>
    </xf>
    <xf numFmtId="0" fontId="4" fillId="0" borderId="2" applyAlignment="1" pivotButton="0" quotePrefix="0" xfId="0">
      <alignment vertical="top"/>
    </xf>
    <xf numFmtId="0" fontId="6" fillId="0" borderId="2" applyAlignment="1" pivotButton="0" quotePrefix="0" xfId="0">
      <alignment vertical="top" wrapText="1"/>
    </xf>
    <xf numFmtId="0" fontId="7" fillId="8" borderId="2" applyAlignment="1" pivotButton="0" quotePrefix="0" xfId="0">
      <alignment vertical="top" wrapText="1"/>
    </xf>
    <xf numFmtId="0" fontId="8" fillId="9" borderId="2"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4" fillId="0" borderId="0" applyAlignment="1" pivotButton="0" quotePrefix="0" xfId="0">
      <alignment vertical="top" wrapText="1"/>
    </xf>
    <xf numFmtId="0" fontId="13" fillId="0" borderId="0" pivotButton="0" quotePrefix="0" xfId="0"/>
    <xf numFmtId="0" fontId="10" fillId="0" borderId="0" pivotButton="0" quotePrefix="0" xfId="0"/>
    <xf numFmtId="0" fontId="3" fillId="10" borderId="2" pivotButton="0" quotePrefix="0" xfId="0"/>
    <xf numFmtId="0" fontId="12" fillId="0" borderId="2" pivotButton="0" quotePrefix="0" xfId="0"/>
    <xf numFmtId="0" fontId="4" fillId="0" borderId="2" pivotButton="0" quotePrefix="0" xfId="0"/>
    <xf numFmtId="9" fontId="0" fillId="0" borderId="2" pivotButton="0" quotePrefix="0" xfId="0"/>
    <xf numFmtId="0" fontId="4" fillId="0" borderId="2" applyAlignment="1" pivotButton="0" quotePrefix="0" xfId="0">
      <alignment vertical="top" wrapText="1"/>
    </xf>
    <xf numFmtId="0" fontId="14" fillId="0" borderId="0" pivotButton="0" quotePrefix="0" xfId="0"/>
    <xf numFmtId="0" fontId="4" fillId="0" borderId="0" pivotButton="0" quotePrefix="0" xfId="0"/>
    <xf numFmtId="164" fontId="6" fillId="11" borderId="2" applyAlignment="1" pivotButton="0" quotePrefix="0" xfId="0">
      <alignment vertical="top"/>
    </xf>
    <xf numFmtId="0" fontId="6" fillId="3" borderId="2" applyAlignment="1" pivotButton="0" quotePrefix="0" xfId="0">
      <alignment vertical="top"/>
    </xf>
    <xf numFmtId="0" fontId="6" fillId="11" borderId="2" applyAlignment="1" pivotButton="0" quotePrefix="0" xfId="0">
      <alignment vertical="top"/>
    </xf>
    <xf numFmtId="0" fontId="16" fillId="12" borderId="2" applyAlignment="1" pivotButton="0" quotePrefix="0" xfId="0">
      <alignment vertical="top"/>
    </xf>
    <xf numFmtId="0" fontId="15" fillId="11" borderId="2" applyAlignment="1" pivotButton="0" quotePrefix="0" xfId="0">
      <alignment vertical="top" wrapText="1"/>
    </xf>
    <xf numFmtId="0" fontId="15" fillId="13" borderId="2" applyAlignment="1" pivotButton="0" quotePrefix="0" xfId="0">
      <alignment vertical="top" wrapText="1"/>
    </xf>
    <xf numFmtId="0" fontId="15" fillId="0" borderId="2" applyAlignment="1" pivotButton="0" quotePrefix="0" xfId="0">
      <alignment vertical="top" wrapText="1"/>
    </xf>
    <xf numFmtId="0" fontId="15" fillId="8" borderId="2" applyAlignment="1" pivotButton="0" quotePrefix="0" xfId="0">
      <alignment vertical="top" wrapText="1"/>
    </xf>
    <xf numFmtId="0" fontId="17" fillId="11" borderId="2" applyAlignment="1" pivotButton="0" quotePrefix="0" xfId="0">
      <alignment vertical="top"/>
    </xf>
    <xf numFmtId="0" fontId="5" fillId="13" borderId="2" applyAlignment="1" pivotButton="0" quotePrefix="0" xfId="0">
      <alignment vertical="top"/>
    </xf>
    <xf numFmtId="0" fontId="4" fillId="14" borderId="2" applyAlignment="1" pivotButton="0" quotePrefix="0" xfId="0">
      <alignment vertical="top"/>
    </xf>
    <xf numFmtId="0" fontId="6" fillId="12" borderId="2" applyAlignment="1" pivotButton="0" quotePrefix="0" xfId="0">
      <alignment vertical="top"/>
    </xf>
    <xf numFmtId="0" fontId="6" fillId="14" borderId="2" applyAlignment="1" pivotButton="0" quotePrefix="0" xfId="0">
      <alignment vertical="top"/>
    </xf>
    <xf numFmtId="0" fontId="1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OpenAI</author>
  </authors>
  <commentList>
    <comment ref="F1" authorId="0" shapeId="0">
      <text>
        <t>This column intentionally avoids hallucinated INCI details unless the official collection text lists the actives/positioning.</t>
      </text>
    </comment>
    <comment ref="N1" authorId="0" shapeId="0">
      <text>
        <t>Use this before making app recommendations. 'Official collection page' means product name/positioning was pulled from the official brand collection page; full ingredient panel still needs exact product-page verification before production use.</t>
      </text>
    </comment>
  </commentList>
</comments>
</file>

<file path=xl/tables/table1.xml><?xml version="1.0" encoding="utf-8"?>
<table xmlns="http://schemas.openxmlformats.org/spreadsheetml/2006/main" id="1" name="VerifiedProductDB" displayName="VerifiedProductDB" ref="A1:P82" headerRowCount="1">
  <autoFilter ref="A1:P82"/>
  <tableColumns count="16">
    <tableColumn id="1" name="Priority"/>
    <tableColumn id="2" name="Brand"/>
    <tableColumn id="3" name="Product"/>
    <tableColumn id="4" name="Product Type"/>
    <tableColumn id="5" name="Category"/>
    <tableColumn id="6" name="Known/Listed Actives or Positioning"/>
    <tableColumn id="7" name="Best Skin Findings From AI Analysis"/>
    <tableColumn id="8" name="Best Skin Types"/>
    <tableColumn id="9" name="When to Use"/>
    <tableColumn id="10" name="Avoid / Caution Logic"/>
    <tableColumn id="11" name="Recommendation Logic"/>
    <tableColumn id="12" name="Routine Slot"/>
    <tableColumn id="13" name="Affiliate Potential"/>
    <tableColumn id="14" name="Verification Level"/>
    <tableColumn id="15" name="Source URL"/>
    <tableColumn id="16" name="Notes"/>
  </tableColumns>
  <tableStyleInfo name="TableStyleMedium2" showFirstColumn="0" showLastColumn="0" showRowStripes="1" showColumnStripes="0"/>
</table>
</file>

<file path=xl/tables/table2.xml><?xml version="1.0" encoding="utf-8"?>
<table xmlns="http://schemas.openxmlformats.org/spreadsheetml/2006/main" id="2" name="AILogicMap" displayName="AILogicMap" ref="A1:F11" headerRowCount="1">
  <autoFilter ref="A1:F11"/>
  <tableColumns count="6">
    <tableColumn id="1" name="AI Skin Finding"/>
    <tableColumn id="2" name="Threshold / Trigger"/>
    <tableColumn id="3" name="Primary Category"/>
    <tableColumn id="4" name="Preferred Products From Core Lines"/>
    <tableColumn id="5" name="Avoid / Caution"/>
    <tableColumn id="6" name="Example Recommendation Copy"/>
  </tableColumns>
  <tableStyleInfo name="TableStyleMedium5" showRowStripes="1"/>
</table>
</file>

<file path=xl/tables/table3.xml><?xml version="1.0" encoding="utf-8"?>
<table xmlns="http://schemas.openxmlformats.org/spreadsheetml/2006/main" id="3" name="BrandCoverage" displayName="BrandCoverage" ref="A1:E5" headerRowCount="1">
  <autoFilter ref="A1:E5"/>
  <tableColumns count="5">
    <tableColumn id="1" name="Brand"/>
    <tableColumn id="2" name="Status in v2"/>
    <tableColumn id="3" name="Products Included"/>
    <tableColumn id="4" name="Source Evidence"/>
    <tableColumn id="5" name="Expansion Needed"/>
  </tableColumns>
  <tableStyleInfo name="TableStyleMedium4" showRowStripes="1"/>
</table>
</file>

<file path=xl/tables/table4.xml><?xml version="1.0" encoding="utf-8"?>
<table xmlns="http://schemas.openxmlformats.org/spreadsheetml/2006/main" id="4" name="RecommendationCategories" displayName="RecommendationCategories" ref="A1:D9" headerRowCount="1">
  <autoFilter ref="A1:D9"/>
  <tableColumns count="4">
    <tableColumn id="1" name="Category"/>
    <tableColumn id="2" name="Best Use"/>
    <tableColumn id="3" name="Core Products"/>
    <tableColumn id="4" name="When Not to Use"/>
  </tableColumns>
  <tableStyleInfo name="TableStyleMedium3" showRowStripes="1"/>
</table>
</file>

<file path=xl/tables/table5.xml><?xml version="1.0" encoding="utf-8"?>
<table xmlns="http://schemas.openxmlformats.org/spreadsheetml/2006/main" id="5" name="SourceTable" displayName="SourceTable" ref="A1:C15" headerRowCount="1">
  <autoFilter ref="A1:C15"/>
  <tableColumns count="3">
    <tableColumn id="1" name="Brand"/>
    <tableColumn id="2" name="Source URL"/>
    <tableColumn id="3" name="What It Supports"/>
  </tableColumns>
  <tableStyleInfo name="TableStyleMedium7"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40" customWidth="1" min="1" max="1"/>
    <col width="98" customWidth="1" min="2" max="2"/>
  </cols>
  <sheetData>
    <row r="1">
      <c r="A1" s="18" t="inlineStr">
        <is>
          <t>Four columns the app needs — how to fill them</t>
        </is>
      </c>
    </row>
    <row r="2">
      <c r="A2" s="19" t="inlineStr">
        <is>
          <t>Added 2026-09-04. The importer reads these; until they are filled the app degrades safely rather than guessing.</t>
        </is>
      </c>
    </row>
    <row r="4">
      <c r="A4" s="20" t="inlineStr">
        <is>
          <t>The rule that governs all four</t>
        </is>
      </c>
    </row>
    <row r="5" ht="44" customHeight="1">
      <c r="A5" s="21" t="inlineStr">
        <is>
          <t>A blank is a fact.</t>
        </is>
      </c>
      <c r="B5" s="22" t="inlineStr">
        <is>
          <t>It means the information was not printed, not legible, or not published. Never fill a blank by inference — that is exactly the fabrication risk this database exists to prevent. Leave it blank and let the app degrade.</t>
        </is>
      </c>
    </row>
    <row r="7" ht="30" customHeight="1">
      <c r="A7" s="20" t="inlineStr">
        <is>
          <t>1. Price</t>
        </is>
      </c>
      <c r="B7" s="22" t="inlineStr">
        <is>
          <t>Columns Q–S</t>
        </is>
      </c>
    </row>
    <row r="8" ht="44" customHeight="1">
      <c r="A8" s="21" t="inlineStr">
        <is>
          <t>What breaks without it</t>
        </is>
      </c>
      <c r="B8" s="22" t="inlineStr">
        <is>
          <t>Products show "Price not yet verified" and the user's budget ceiling cannot be applied to them — so they are excluded from every budget-filtered recommendation.</t>
        </is>
      </c>
    </row>
    <row r="9" ht="44" customHeight="1">
      <c r="A9" s="21" t="inlineStr">
        <is>
          <t>How to fill</t>
        </is>
      </c>
      <c r="B9" s="22" t="inlineStr">
        <is>
          <t>Price (USD) = the current single-unit price from the official product page. Price Source URL = that page. Price Verified = the date you looked. Prices drift; re-check quarterly.</t>
        </is>
      </c>
    </row>
    <row r="10" ht="30" customHeight="1">
      <c r="A10" s="21" t="inlineStr">
        <is>
          <t>Watch for</t>
        </is>
      </c>
      <c r="B10" s="22" t="inlineStr">
        <is>
          <t>Subscription prices, bundle-only pricing, and sale prices. Record the standard one-time price.</t>
        </is>
      </c>
    </row>
    <row r="12" ht="30" customHeight="1">
      <c r="A12" s="20" t="inlineStr">
        <is>
          <t>2. Fragrance-free</t>
        </is>
      </c>
      <c r="B12" s="22" t="inlineStr">
        <is>
          <t>Columns T–U</t>
        </is>
      </c>
    </row>
    <row r="13" ht="44" customHeight="1">
      <c r="A13" s="21" t="inlineStr">
        <is>
          <t>What breaks without it</t>
        </is>
      </c>
      <c r="B13" s="22" t="inlineStr">
        <is>
          <t>Unknown is treated as fragranced. Anyone who selects "avoid fragrance" sees nothing from this catalog — the safest default, and the reason this column is worth filling first.</t>
        </is>
      </c>
    </row>
    <row r="14" ht="30" customHeight="1">
      <c r="A14" s="21" t="inlineStr">
        <is>
          <t>How to fill</t>
        </is>
      </c>
      <c r="B14" s="22" t="inlineStr">
        <is>
          <t>Yes / No / Unknown. Then record how you know: Full INCI checked &gt; Label image read &gt; Brand claim only &gt; Not checked.</t>
        </is>
      </c>
    </row>
    <row r="15" ht="44" customHeight="1">
      <c r="A15" s="21" t="inlineStr">
        <is>
          <t>Watch for</t>
        </is>
      </c>
      <c r="B15" s="22" t="inlineStr">
        <is>
          <t>"Unscented" is not fragrance-free — it can mean a masking fragrance. Look for parfum/fragrance, and for essential oils if you are treating those as fragrance. Alitura and OSEA-style botanical lines are the ones to check carefully.</t>
        </is>
      </c>
    </row>
    <row r="17" ht="30" customHeight="1">
      <c r="A17" s="20" t="inlineStr">
        <is>
          <t>3. Pregnancy review</t>
        </is>
      </c>
      <c r="B17" s="22" t="inlineStr">
        <is>
          <t>Columns Y–AA</t>
        </is>
      </c>
    </row>
    <row r="18" ht="30" customHeight="1">
      <c r="A18" s="21" t="inlineStr">
        <is>
          <t>What breaks without it</t>
        </is>
      </c>
      <c r="B18" s="22" t="inlineStr">
        <is>
          <t>Anyone pregnant, trying, or nursing gets category guidance only — no specific product recommendations at all.</t>
        </is>
      </c>
    </row>
    <row r="19" ht="44" customHeight="1">
      <c r="A19" s="21" t="inlineStr">
        <is>
          <t>Pregnancy Flag is PROVISIONAL</t>
        </is>
      </c>
      <c r="B19" s="22" t="inlineStr">
        <is>
          <t>Pre-filled from the active class this sheet already names — retinoids flagged avoid, exosomes and growth factors flagged practitioner-only, acids and tools flagged caution. These are starting points from ingredient class, not label review, and carry no clinical authority.</t>
        </is>
      </c>
    </row>
    <row r="20" ht="44" customHeight="1">
      <c r="A20" s="21" t="inlineStr">
        <is>
          <t>To make it real</t>
        </is>
      </c>
      <c r="B20" s="22" t="inlineStr">
        <is>
          <t>A qualified reviewer reads the full INCI, decides, and signs: change the flag to one of the REVIEWED — values, then enter Pregnancy Reviewed By and Pregnancy Review Date. The app only trusts REVIEWED — values.</t>
        </is>
      </c>
    </row>
    <row r="22" ht="30" customHeight="1">
      <c r="A22" s="20" t="inlineStr">
        <is>
          <t>4. Full ingredient list</t>
        </is>
      </c>
      <c r="B22" s="22" t="inlineStr">
        <is>
          <t>Columns V–X</t>
        </is>
      </c>
    </row>
    <row r="23" ht="44" customHeight="1">
      <c r="A23" s="21" t="inlineStr">
        <is>
          <t>What breaks without it</t>
        </is>
      </c>
      <c r="B23" s="22" t="inlineStr">
        <is>
          <t>Allergen matching only works against the handful of actives named in column F. A user avoiding an ingredient outside that list gets no protection.</t>
        </is>
      </c>
    </row>
    <row r="24" ht="30" customHeight="1">
      <c r="A24" s="21" t="inlineStr">
        <is>
          <t>How to fill</t>
        </is>
      </c>
      <c r="B24" s="22" t="inlineStr">
        <is>
          <t>Paste the complete INCI list from the label, in order, comma-separated. Record the source URL and capture date.</t>
        </is>
      </c>
    </row>
    <row r="25" ht="44" customHeight="1">
      <c r="A25" s="21" t="inlineStr">
        <is>
          <t>Watch for</t>
        </is>
      </c>
      <c r="B25" s="22" t="inlineStr">
        <is>
          <t>The panel is usually published only as an image — product-page HTML gives you marketing prose, not label data. Open the label image and read it. Manufacturer copy frequently disagrees with the manufacturer's own printed panel; when they conflict, the panel wins and you record the conflict.</t>
        </is>
      </c>
    </row>
    <row r="27">
      <c r="A27" s="20" t="inlineStr">
        <is>
          <t>Order of work</t>
        </is>
      </c>
    </row>
    <row r="28" ht="44" customHeight="1">
      <c r="A28" s="21" t="inlineStr">
        <is>
          <t>Sort by Fill Priority (column AE), high to low</t>
        </is>
      </c>
      <c r="B28" s="22" t="inlineStr">
        <is>
          <t>7 = priority-1 row with high affiliate potential. 0/skip = blocked, out of scope, or a bundle that inherits its components' data. Doing the top ~25 rows covers the products the app will actually recommend most.</t>
        </is>
      </c>
    </row>
    <row r="29" ht="30" customHeight="1">
      <c r="A29" s="21" t="inlineStr">
        <is>
          <t>Do fragrance-free first</t>
        </is>
      </c>
      <c r="B29" s="22" t="inlineStr">
        <is>
          <t>One column, biggest immediate unlock, and it is answerable from the same label image you need for INCI anyway.</t>
        </is>
      </c>
    </row>
    <row r="31">
      <c r="A31" s="20" t="inlineStr">
        <is>
          <t>Colour key</t>
        </is>
      </c>
    </row>
    <row r="32" ht="30" customHeight="1">
      <c r="A32" s="21" t="inlineStr">
        <is>
          <t>Cream fill</t>
        </is>
      </c>
      <c r="B32" s="22" t="inlineStr">
        <is>
          <t>You fill this in.</t>
        </is>
      </c>
    </row>
    <row r="33" ht="30" customHeight="1">
      <c r="A33" s="21" t="inlineStr">
        <is>
          <t>Green fill</t>
        </is>
      </c>
      <c r="B33" s="22" t="inlineStr">
        <is>
          <t>Provisional pregnancy class — needs a reviewer's signature to become real.</t>
        </is>
      </c>
    </row>
    <row r="34" ht="30" customHeight="1">
      <c r="A34" s="21" t="inlineStr">
        <is>
          <t>Red fill</t>
        </is>
      </c>
      <c r="B34" s="22" t="inlineStr">
        <is>
          <t>Blocked or out of scope. Do not spend time filling these until the blocker is resolved.</t>
        </is>
      </c>
    </row>
    <row r="36">
      <c r="A36" s="20" t="inlineStr">
        <is>
          <t>What was already flagged for you</t>
        </is>
      </c>
    </row>
    <row r="37" ht="44" customHeight="1">
      <c r="A37" s="21" t="inlineStr">
        <is>
          <t>6 blockers and 5 out-of-scope rows</t>
        </is>
      </c>
      <c r="B37" s="22" t="inlineStr">
        <is>
          <t>Carried from the Phase 9F label research (2026-08-04). Two products do not exist as named, two sunscreens publish no Drug Facts panel, one topical contains human platelet extract, one row covers two different products. See the Blocker column.</t>
        </is>
      </c>
    </row>
    <row r="38" ht="44" customHeight="1">
      <c r="A38" s="21" t="inlineStr">
        <is>
          <t>Scope question worth deciding</t>
        </is>
      </c>
      <c r="B38" s="22" t="inlineStr">
        <is>
          <t>Nutrafol, Nordic Naturals ProOmega, HigherDOSE and ZIIP are supplements and devices. vAIne's MVP excludes supplements, peptides and prescriptions, so they arguably do not belong in this catalog at all.</t>
        </is>
      </c>
    </row>
    <row r="40">
      <c r="A40" s="45" t="inlineStr">
        <is>
          <t>UPDATE 2026-09-04 — fragrance column populated, and the rule had to change</t>
        </is>
      </c>
    </row>
    <row r="41" ht="46" customHeight="1">
      <c r="A41" s="21" t="inlineStr">
        <is>
          <t>45 of 81 rows now carry a verbatim published ingredient list, price and fragrance verdict, captured direct from brand pages.</t>
        </is>
      </c>
      <c r="B41" s="22" t="inlineStr">
        <is>
          <t>Young Goose 17, Alitura 10, Vitali 10, OneSkin 4, Revision 2, SkinBetter 2. 17 bundles and 4 not-found rows correctly left blank rather than filled by inference.</t>
        </is>
      </c>
    </row>
    <row r="42" ht="46" customHeight="1">
      <c r="A42" s="21" t="inlineStr">
        <is>
          <t>The naive rule would have been dangerous.</t>
        </is>
      </c>
      <c r="B42" s="22" t="inlineStr">
        <is>
          <t>Every single captured product passes the simple test — not one declares "Fragrance", "Parfum" or "Aroma". But 27 of 45 are built on essential oils. A user who selects "avoid fragrance" and is handed Angel's Mist (nine essential oils) has been failed by the data, not the app.</t>
        </is>
      </c>
    </row>
    <row r="43" ht="46" customHeight="1">
      <c r="A43" s="21" t="inlineStr">
        <is>
          <t>So Fragrance-Free = Yes requires BOTH conditions</t>
        </is>
      </c>
      <c r="B43" s="22" t="inlineStr">
        <is>
          <t>(1) no Fragrance/Parfum/Aroma declared, AND (2) no essential oils or fragrant botanicals in the list. Where an essential oil is present the cell reads No, and the Allergen Flags column names the specific botanicals. The importer should treat this column as already reflecting that stricter test.</t>
        </is>
      </c>
    </row>
    <row r="44" ht="46" customHeight="1">
      <c r="A44" s="21" t="inlineStr">
        <is>
          <t>Result: 18 Yes, 27 No, 36 still Unknown.</t>
        </is>
      </c>
      <c r="B44" s="22" t="inlineStr">
        <is>
          <t>The Unknown rows are bundles (17), products not found (4), and brands whose sites blocked the fetch (12) — plus Alitura Clay Mask, which publishes no ingredient list at all despite claiming to be free of synthetic fragrance.</t>
        </is>
      </c>
    </row>
    <row r="45" ht="46" customHeight="1">
      <c r="A45" s="21" t="inlineStr">
        <is>
          <t>Alitura has zero fragrance-free products.</t>
        </is>
      </c>
      <c r="B45" s="22" t="inlineStr">
        <is>
          <t>All 10 captured Alitura items are essential-oil based; Santal Black is effectively a fragrance oil and contains Balsam of Peru, a well-known contact allergen. A fragrance-avoidant user can be shown nothing from this brand. Worth knowing, since Alitura is one of the three anchor brands.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6" customWidth="1" min="1" max="1"/>
    <col width="10" customWidth="1" min="2" max="2"/>
    <col width="10" customWidth="1" min="3" max="3"/>
    <col width="12" customWidth="1" min="4" max="4"/>
    <col width="13" customWidth="1" min="5" max="5"/>
    <col width="44" customWidth="1" min="6" max="6"/>
  </cols>
  <sheetData>
    <row r="1">
      <c r="A1" s="23" t="inlineStr">
        <is>
          <t>Fill progress</t>
        </is>
      </c>
    </row>
    <row r="2">
      <c r="A2" s="24" t="inlineStr">
        <is>
          <t>Live counts — they update as you type in Verified_Product_DB.</t>
        </is>
      </c>
    </row>
    <row r="4">
      <c r="A4" s="25" t="inlineStr">
        <is>
          <t>Field</t>
        </is>
      </c>
      <c r="B4" s="25" t="inlineStr">
        <is>
          <t>Column</t>
        </is>
      </c>
      <c r="C4" s="25" t="inlineStr">
        <is>
          <t>Filled</t>
        </is>
      </c>
      <c r="D4" s="25" t="inlineStr">
        <is>
          <t>Total rows</t>
        </is>
      </c>
      <c r="E4" s="25" t="inlineStr">
        <is>
          <t>% complete</t>
        </is>
      </c>
      <c r="F4" s="25" t="inlineStr">
        <is>
          <t>What it unlocks</t>
        </is>
      </c>
    </row>
    <row r="5">
      <c r="A5" s="26" t="inlineStr">
        <is>
          <t>Price</t>
        </is>
      </c>
      <c r="B5" s="27" t="inlineStr">
        <is>
          <t>Q</t>
        </is>
      </c>
      <c r="C5" s="27">
        <f>COUNT(Verified_Product_DB!Q2:Q82)</f>
        <v/>
      </c>
      <c r="D5" s="27" t="n">
        <v>81</v>
      </c>
      <c r="E5" s="28">
        <f>IFERROR(C5/D5,0)</f>
        <v/>
      </c>
      <c r="F5" s="29" t="inlineStr">
        <is>
          <t>Budget filtering</t>
        </is>
      </c>
    </row>
    <row r="6">
      <c r="A6" s="26" t="inlineStr">
        <is>
          <t>Fragrance-free answered</t>
        </is>
      </c>
      <c r="B6" s="27" t="inlineStr">
        <is>
          <t>T</t>
        </is>
      </c>
      <c r="C6" s="27">
        <f>COUNTIF(Verified_Product_DB!T2:T82,"&lt;&gt;Unknown")</f>
        <v/>
      </c>
      <c r="D6" s="27" t="n">
        <v>81</v>
      </c>
      <c r="E6" s="28">
        <f>IFERROR(C6/D6,0)</f>
        <v/>
      </c>
      <c r="F6" s="29" t="inlineStr">
        <is>
          <t>Fragrance-avoidance filter</t>
        </is>
      </c>
    </row>
    <row r="7">
      <c r="A7" s="26" t="inlineStr">
        <is>
          <t>Full INCI</t>
        </is>
      </c>
      <c r="B7" s="27" t="inlineStr">
        <is>
          <t>V</t>
        </is>
      </c>
      <c r="C7" s="27">
        <f>COUNTA(Verified_Product_DB!V2:V82)</f>
        <v/>
      </c>
      <c r="D7" s="27" t="n">
        <v>81</v>
      </c>
      <c r="E7" s="28">
        <f>IFERROR(C7/D7,0)</f>
        <v/>
      </c>
      <c r="F7" s="29" t="inlineStr">
        <is>
          <t>Allergen matching beyond listed actives</t>
        </is>
      </c>
    </row>
    <row r="8">
      <c r="A8" s="26" t="inlineStr">
        <is>
          <t>Pregnancy REVIEWED</t>
        </is>
      </c>
      <c r="B8" s="27" t="inlineStr">
        <is>
          <t>Y</t>
        </is>
      </c>
      <c r="C8" s="27">
        <f>COUNTIF(Verified_Product_DB!Y2:Y82,"REVIEWED*")</f>
        <v/>
      </c>
      <c r="D8" s="27" t="n">
        <v>81</v>
      </c>
      <c r="E8" s="28">
        <f>IFERROR(C8/D8,0)</f>
        <v/>
      </c>
      <c r="F8" s="29" t="inlineStr">
        <is>
          <t>Product-level recs for pregnant/nursing users</t>
        </is>
      </c>
    </row>
    <row r="9">
      <c r="A9" s="26" t="inlineStr">
        <is>
          <t>Price source recorded</t>
        </is>
      </c>
      <c r="B9" s="27" t="inlineStr">
        <is>
          <t>R</t>
        </is>
      </c>
      <c r="C9" s="27">
        <f>COUNTA(Verified_Product_DB!R2:R82)</f>
        <v/>
      </c>
      <c r="D9" s="27" t="n">
        <v>81</v>
      </c>
      <c r="E9" s="28">
        <f>IFERROR(C9/D9,0)</f>
        <v/>
      </c>
      <c r="F9" s="29" t="inlineStr">
        <is>
          <t>Provenance for the price</t>
        </is>
      </c>
    </row>
    <row r="10">
      <c r="A10" s="26" t="inlineStr">
        <is>
          <t>Catalog approved</t>
        </is>
      </c>
      <c r="B10" s="27" t="inlineStr">
        <is>
          <t>AC</t>
        </is>
      </c>
      <c r="C10" s="27">
        <f>COUNTIF(Verified_Product_DB!AC2:AC82,"catalog_approved")</f>
        <v/>
      </c>
      <c r="D10" s="27" t="n">
        <v>81</v>
      </c>
      <c r="E10" s="28">
        <f>IFERROR(C10/D10,0)</f>
        <v/>
      </c>
      <c r="F10" s="29" t="inlineStr">
        <is>
          <t>Visibility in the app at all</t>
        </is>
      </c>
    </row>
    <row r="12">
      <c r="A12" s="30" t="inlineStr">
        <is>
          <t>Blocked / out of scope</t>
        </is>
      </c>
    </row>
    <row r="13">
      <c r="A13" s="31">
        <f>COUNTIF(Verified_Product_DB!AC2:AC82,"blocked")&amp;" blocked, "&amp;COUNTIF(Verified_Product_DB!AC2:AC82,"out_of_scope")&amp;" out of scope"</f>
        <v/>
      </c>
    </row>
    <row r="15">
      <c r="A15" s="24" t="inlineStr">
        <is>
          <t>Counts calculate when Excel opens the file.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82"/>
  <sheetViews>
    <sheetView showGridLines="0"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2" customWidth="1" min="2" max="2"/>
    <col width="38" customWidth="1" min="3" max="3"/>
    <col width="28" customWidth="1" min="4" max="4"/>
    <col width="26" customWidth="1" min="5" max="5"/>
    <col width="46" customWidth="1" min="6" max="6"/>
    <col width="44" customWidth="1" min="7" max="7"/>
    <col width="26" customWidth="1" min="8" max="8"/>
    <col width="20" customWidth="1" min="9" max="9"/>
    <col width="46" customWidth="1" min="10" max="10"/>
    <col width="52" customWidth="1" min="11" max="11"/>
    <col width="24" customWidth="1" min="12" max="12"/>
    <col width="18" customWidth="1" min="13" max="13"/>
    <col width="26" customWidth="1" min="14" max="14"/>
    <col width="42" customWidth="1" min="15" max="15"/>
    <col width="42" customWidth="1" min="16" max="16"/>
    <col width="12" customWidth="1" min="17" max="17"/>
    <col width="30" customWidth="1" min="18" max="18"/>
    <col width="16" customWidth="1" min="19" max="19"/>
    <col width="15" customWidth="1" min="20" max="20"/>
    <col width="24" customWidth="1" min="21" max="21"/>
    <col width="60" customWidth="1" min="22" max="22"/>
    <col width="30" customWidth="1" min="23" max="23"/>
    <col width="17" customWidth="1" min="24" max="24"/>
    <col width="24" customWidth="1" min="25" max="25"/>
    <col width="20" customWidth="1" min="26" max="26"/>
    <col width="18" customWidth="1" min="27" max="27"/>
    <col width="34" customWidth="1" min="28" max="28"/>
    <col width="20" customWidth="1" min="29" max="29"/>
    <col width="52" customWidth="1" min="30" max="30"/>
    <col width="12" customWidth="1" min="31" max="31"/>
  </cols>
  <sheetData>
    <row r="1" ht="38" customHeight="1">
      <c r="A1" s="1" t="inlineStr">
        <is>
          <t>Priority</t>
        </is>
      </c>
      <c r="B1" s="1" t="inlineStr">
        <is>
          <t>Brand</t>
        </is>
      </c>
      <c r="C1" s="1" t="inlineStr">
        <is>
          <t>Product</t>
        </is>
      </c>
      <c r="D1" s="1" t="inlineStr">
        <is>
          <t>Product Type</t>
        </is>
      </c>
      <c r="E1" s="1" t="inlineStr">
        <is>
          <t>Category</t>
        </is>
      </c>
      <c r="F1" s="1" t="inlineStr">
        <is>
          <t>Known/Listed Actives or Positioning</t>
        </is>
      </c>
      <c r="G1" s="1" t="inlineStr">
        <is>
          <t>Best Skin Findings From AI Analysis</t>
        </is>
      </c>
      <c r="H1" s="1" t="inlineStr">
        <is>
          <t>Best Skin Types</t>
        </is>
      </c>
      <c r="I1" s="1" t="inlineStr">
        <is>
          <t>When to Use</t>
        </is>
      </c>
      <c r="J1" s="1" t="inlineStr">
        <is>
          <t>Avoid / Caution Logic</t>
        </is>
      </c>
      <c r="K1" s="1" t="inlineStr">
        <is>
          <t>Recommendation Logic</t>
        </is>
      </c>
      <c r="L1" s="1" t="inlineStr">
        <is>
          <t>Routine Slot</t>
        </is>
      </c>
      <c r="M1" s="1" t="inlineStr">
        <is>
          <t>Affiliate Potential</t>
        </is>
      </c>
      <c r="N1" s="1" t="inlineStr">
        <is>
          <t>Verification Level</t>
        </is>
      </c>
      <c r="O1" s="1" t="inlineStr">
        <is>
          <t>Source URL</t>
        </is>
      </c>
      <c r="P1" s="1" t="inlineStr">
        <is>
          <t>Notes</t>
        </is>
      </c>
      <c r="Q1" s="10" t="inlineStr">
        <is>
          <t>Price (USD)</t>
        </is>
      </c>
      <c r="R1" s="10" t="inlineStr">
        <is>
          <t>Price Source URL</t>
        </is>
      </c>
      <c r="S1" s="10" t="inlineStr">
        <is>
          <t>Price Verified (date)</t>
        </is>
      </c>
      <c r="T1" s="10" t="inlineStr">
        <is>
          <t>Fragrance-Free</t>
        </is>
      </c>
      <c r="U1" s="10" t="inlineStr">
        <is>
          <t>Fragrance Evidence</t>
        </is>
      </c>
      <c r="V1" s="10" t="inlineStr">
        <is>
          <t>Full INCI</t>
        </is>
      </c>
      <c r="W1" s="10" t="inlineStr">
        <is>
          <t>INCI Source URL</t>
        </is>
      </c>
      <c r="X1" s="10" t="inlineStr">
        <is>
          <t>INCI Captured (date)</t>
        </is>
      </c>
      <c r="Y1" s="10" t="inlineStr">
        <is>
          <t>Pregnancy Flag (PROVISIONAL)</t>
        </is>
      </c>
      <c r="Z1" s="10" t="inlineStr">
        <is>
          <t>Pregnancy Reviewed By</t>
        </is>
      </c>
      <c r="AA1" s="10" t="inlineStr">
        <is>
          <t>Pregnancy Review Date</t>
        </is>
      </c>
      <c r="AB1" s="10" t="inlineStr">
        <is>
          <t>Allergen Flags</t>
        </is>
      </c>
      <c r="AC1" s="10" t="inlineStr">
        <is>
          <t>Catalog State</t>
        </is>
      </c>
      <c r="AD1" s="10" t="inlineStr">
        <is>
          <t>Blocker / Known Issue</t>
        </is>
      </c>
      <c r="AE1" s="10" t="inlineStr">
        <is>
          <t>Fill Priority</t>
        </is>
      </c>
    </row>
    <row r="2" ht="58" customHeight="1">
      <c r="A2" s="2" t="n">
        <v>1</v>
      </c>
      <c r="B2" s="3" t="inlineStr">
        <is>
          <t>Young Goose</t>
        </is>
      </c>
      <c r="C2" s="3" t="inlineStr">
        <is>
          <t>YOUTH RESET</t>
        </is>
      </c>
      <c r="D2" s="3" t="inlineStr">
        <is>
          <t>Anti-Aging Serum</t>
        </is>
      </c>
      <c r="E2" s="3" t="inlineStr">
        <is>
          <t>Serum / Longevity</t>
        </is>
      </c>
      <c r="F2" s="3" t="inlineStr">
        <is>
          <t>Skin longevity serum; product page positions as anti-aging serum</t>
        </is>
      </c>
      <c r="G2" s="3" t="inlineStr">
        <is>
          <t>Fine lines, dullness, texture irregularity, biological aging appearance</t>
        </is>
      </c>
      <c r="H2" s="3" t="inlineStr">
        <is>
          <t>Normal, dry, combination, mature</t>
        </is>
      </c>
      <c r="I2" s="3" t="inlineStr">
        <is>
          <t>PM or as directed</t>
        </is>
      </c>
      <c r="J2" s="3" t="inlineStr">
        <is>
          <t>Patch test; use cautiously with strong retinoids/acids if sensitive</t>
        </is>
      </c>
      <c r="K2" s="3" t="inlineStr">
        <is>
          <t>If Skin Longevity Score low or collagen/texture markers present, prioritize YOUTH RESET</t>
        </is>
      </c>
      <c r="L2" s="3" t="inlineStr">
        <is>
          <t>Treatment serum</t>
        </is>
      </c>
      <c r="M2" s="3" t="inlineStr">
        <is>
          <t>High</t>
        </is>
      </c>
      <c r="N2" s="3" t="inlineStr">
        <is>
          <t>Official collection page</t>
        </is>
      </c>
      <c r="O2" s="4" t="inlineStr">
        <is>
          <t>https://www.younggoose.com/collections/all</t>
        </is>
      </c>
      <c r="P2" s="3" t="inlineStr"/>
      <c r="Q2" s="32" t="n">
        <v>196.5</v>
      </c>
      <c r="R2" s="33" t="inlineStr">
        <is>
          <t>https://www.younggoose.com</t>
        </is>
      </c>
      <c r="S2" s="34" t="inlineStr">
        <is>
          <t>2026-09-04</t>
        </is>
      </c>
      <c r="T2" s="35" t="inlineStr">
        <is>
          <t>No</t>
        </is>
      </c>
      <c r="U2" s="34" t="inlineStr">
        <is>
          <t>Full INCI checked</t>
        </is>
      </c>
      <c r="V2" s="36" t="inlineStr">
        <is>
          <t>Water, Glycerin, Isoprene Glycol, Resveratrol, CelVio Spermidine, Hydroxyethylcellulose, Palmitoyl Hexapeptide-12, Pentapeptide-18 (Leuphasyl), Tetrahexyldecyl Ascorbate, Hyaluronic Acid, Squalane, Panthenol, Camellia Sinensis (White Tea) Leaf Extract, Undecane, Tridecane, Pentaerythrityl Tetraisostearate, Caprylic/Capric Triglyceride, Stearalkonium Hectorite, Propylene Carbonate, Carbomer, Ergothioneine, Tricholoma Matsutake Mycelium Ferment Extract, Tricholoma Matsutake Extract, Ectoin, Nicotinamide Mononucleotide, Lavandula Angustifolia (French Lavender) Extract, Lonicera Caprifolium Flower Extract, Lonicera Japonica Flower Extract, Simmondsia Chinensis (Jojoba) Seed Oil, Citric Acid</t>
        </is>
      </c>
      <c r="W2" s="33" t="inlineStr">
        <is>
          <t>https://www.younggoose.com</t>
        </is>
      </c>
      <c r="X2" s="34" t="inlineStr">
        <is>
          <t>2026-09-04</t>
        </is>
      </c>
      <c r="Y2" s="13" t="inlineStr">
        <is>
          <t>Not reviewed</t>
        </is>
      </c>
      <c r="Z2" s="11" t="n"/>
      <c r="AA2" s="11" t="n"/>
      <c r="AB2" s="37" t="inlineStr">
        <is>
          <t>Fragrant botanicals/EO: Lavender extract; white tea; honeysuckle; jojoba</t>
        </is>
      </c>
      <c r="AC2" s="14" t="inlineStr">
        <is>
          <t>research_only</t>
        </is>
      </c>
      <c r="AD2" s="38" t="inlineStr">
        <is>
          <t>Full size $196.50 / travel $109</t>
        </is>
      </c>
      <c r="AE2" s="14" t="n">
        <v>7</v>
      </c>
    </row>
    <row r="3" ht="58" customHeight="1">
      <c r="A3" s="2" t="n">
        <v>1</v>
      </c>
      <c r="B3" s="3" t="inlineStr">
        <is>
          <t>Young Goose</t>
        </is>
      </c>
      <c r="C3" s="3" t="inlineStr">
        <is>
          <t>YOUTH DAILY</t>
        </is>
      </c>
      <c r="D3" s="3" t="inlineStr">
        <is>
          <t>Skin Longevity Moisturizer</t>
        </is>
      </c>
      <c r="E3" s="3" t="inlineStr">
        <is>
          <t>Moisturizer / Longevity</t>
        </is>
      </c>
      <c r="F3" s="3" t="inlineStr">
        <is>
          <t>Skin longevity moisturizer</t>
        </is>
      </c>
      <c r="G3" s="3" t="inlineStr">
        <is>
          <t>Barrier stress, mild dehydration, early aging, dullness</t>
        </is>
      </c>
      <c r="H3" s="3" t="inlineStr">
        <is>
          <t>Normal, dry, combination, mature</t>
        </is>
      </c>
      <c r="I3" s="3" t="inlineStr">
        <is>
          <t>AM/PM</t>
        </is>
      </c>
      <c r="J3" s="3" t="inlineStr">
        <is>
          <t>May be too rich for very oily/acne-prone users</t>
        </is>
      </c>
      <c r="K3" s="3" t="inlineStr">
        <is>
          <t>If hydration/barrier score is moderate-low and aging prevention is a goal, recommend YOUTH DAILY</t>
        </is>
      </c>
      <c r="L3" s="3" t="inlineStr">
        <is>
          <t>Moisturizer</t>
        </is>
      </c>
      <c r="M3" s="3" t="inlineStr">
        <is>
          <t>High</t>
        </is>
      </c>
      <c r="N3" s="3" t="inlineStr">
        <is>
          <t>Official collection page</t>
        </is>
      </c>
      <c r="O3" s="4" t="inlineStr">
        <is>
          <t>https://www.younggoose.com/collections/all</t>
        </is>
      </c>
      <c r="P3" s="3" t="inlineStr"/>
      <c r="Q3" s="32" t="n">
        <v>176.5</v>
      </c>
      <c r="R3" s="33" t="inlineStr">
        <is>
          <t>https://www.younggoose.com</t>
        </is>
      </c>
      <c r="S3" s="34" t="inlineStr">
        <is>
          <t>2026-09-04</t>
        </is>
      </c>
      <c r="T3" s="35" t="inlineStr">
        <is>
          <t>No</t>
        </is>
      </c>
      <c r="U3" s="34" t="inlineStr">
        <is>
          <t>Full INCI checked</t>
        </is>
      </c>
      <c r="V3" s="36" t="inlineStr">
        <is>
          <t>Water, Caprylic/Capric Triglyceride, Glycerine, Phenyl Trimethicone, Cetearyl Alcohol, Cetearyl Glucoside, Nicotinamide Mononucleotide, Resveratrol, CelVio Spermidine, Pentapeptide-18, Palmitoyl Hexapeptide-12, Tetrahexyldecyl Ascorbate, Squalane, Pentaerythrityl Tetraisostearate, Stearalkonium Hectorite, Propylene Carbonate, Ergothioneine, Tricholoma Matsutake Mycelium Ferment Extract, Tricholoma Matsutake Extract, Ectoin, Cera Alba (Beeswax), Isoprene Glycol, Hydroxyethyl Acrylate/Sodium Acryloyldimethyl Taurate Copolymer, Polyglyceryl-3 Distearate, Curcuma Longa (Turmeric) Root Extract, Hydroxyethylcellulose, Lonicera Caprifolium Flower Extract, Lonicera Japonica Flower Extract, Simmondsia Chinensis (Jojoba) Seed Oil, Disodium EDTA, Lavandula Angustifolia (French Lavender) Extract, Citric Acid</t>
        </is>
      </c>
      <c r="W3" s="33" t="inlineStr">
        <is>
          <t>https://www.younggoose.com</t>
        </is>
      </c>
      <c r="X3" s="34" t="inlineStr">
        <is>
          <t>2026-09-04</t>
        </is>
      </c>
      <c r="Y3" s="13" t="inlineStr">
        <is>
          <t>Not reviewed</t>
        </is>
      </c>
      <c r="Z3" s="11" t="n"/>
      <c r="AA3" s="11" t="n"/>
      <c r="AB3" s="37" t="inlineStr">
        <is>
          <t>Fragrant botanicals/EO: Lavender extract; turmeric; honeysuckle; jojoba</t>
        </is>
      </c>
      <c r="AC3" s="14" t="inlineStr">
        <is>
          <t>research_only</t>
        </is>
      </c>
      <c r="AD3" s="38" t="inlineStr">
        <is>
          <t>Full $176.50 / travel $88</t>
        </is>
      </c>
      <c r="AE3" s="14" t="n">
        <v>7</v>
      </c>
    </row>
    <row r="4" ht="58" customHeight="1">
      <c r="A4" s="2" t="n">
        <v>1</v>
      </c>
      <c r="B4" s="3" t="inlineStr">
        <is>
          <t>Young Goose</t>
        </is>
      </c>
      <c r="C4" s="3" t="inlineStr">
        <is>
          <t>ADAPTOGENIC CLEANSER</t>
        </is>
      </c>
      <c r="D4" s="3" t="inlineStr">
        <is>
          <t>Gentle Longevity Face Wash</t>
        </is>
      </c>
      <c r="E4" s="3" t="inlineStr">
        <is>
          <t>Cleanser</t>
        </is>
      </c>
      <c r="F4" s="3" t="inlineStr">
        <is>
          <t>Gentle longevity face wash</t>
        </is>
      </c>
      <c r="G4" s="3" t="inlineStr">
        <is>
          <t>Mild congestion, sensitive cleanser need, barrier-safe cleanse</t>
        </is>
      </c>
      <c r="H4" s="3" t="inlineStr">
        <is>
          <t>All, especially sensitive/combination</t>
        </is>
      </c>
      <c r="I4" s="3" t="inlineStr">
        <is>
          <t>AM/PM</t>
        </is>
      </c>
      <c r="J4" s="3" t="inlineStr">
        <is>
          <t>Avoid over-cleansing if very dry</t>
        </is>
      </c>
      <c r="K4" s="3" t="inlineStr">
        <is>
          <t>If barrier stress or sensitivity is present, use as primary cleanser</t>
        </is>
      </c>
      <c r="L4" s="3" t="inlineStr">
        <is>
          <t>Cleanser</t>
        </is>
      </c>
      <c r="M4" s="3" t="inlineStr">
        <is>
          <t>High</t>
        </is>
      </c>
      <c r="N4" s="3" t="inlineStr">
        <is>
          <t>Official collection page</t>
        </is>
      </c>
      <c r="O4" s="4" t="inlineStr">
        <is>
          <t>https://www.younggoose.com/collections/all</t>
        </is>
      </c>
      <c r="P4" s="3" t="inlineStr"/>
      <c r="Q4" s="32" t="n">
        <v>56.5</v>
      </c>
      <c r="R4" s="33" t="inlineStr">
        <is>
          <t>https://www.younggoose.com</t>
        </is>
      </c>
      <c r="S4" s="34" t="inlineStr">
        <is>
          <t>2026-09-04</t>
        </is>
      </c>
      <c r="T4" s="35" t="inlineStr">
        <is>
          <t>No</t>
        </is>
      </c>
      <c r="U4" s="34" t="inlineStr">
        <is>
          <t>Full INCI checked</t>
        </is>
      </c>
      <c r="V4" s="36" t="inlineStr">
        <is>
          <t>Aqua, Sodium Cocoyl Wheat Amino Acids, Coconut-Derived Betaine, Red Algae Extract, Brown Algae Extract, German Chamomile Oil, Ginger Root Oil, Guaran Extract, Glycerol, Phenoxyethanol</t>
        </is>
      </c>
      <c r="W4" s="33" t="inlineStr">
        <is>
          <t>https://www.younggoose.com</t>
        </is>
      </c>
      <c r="X4" s="34" t="inlineStr">
        <is>
          <t>2026-09-04</t>
        </is>
      </c>
      <c r="Y4" s="13" t="inlineStr">
        <is>
          <t>Not reviewed</t>
        </is>
      </c>
      <c r="Z4" s="11" t="n"/>
      <c r="AA4" s="11" t="n"/>
      <c r="AB4" s="37" t="inlineStr">
        <is>
          <t>Fragrant botanicals/EO: German Chamomile Oil; Ginger Root Oil</t>
        </is>
      </c>
      <c r="AC4" s="14" t="inlineStr">
        <is>
          <t>research_only</t>
        </is>
      </c>
      <c r="AD4" s="38" t="inlineStr">
        <is>
          <t>Two essential oils present. Full $56.50 / travel $42</t>
        </is>
      </c>
      <c r="AE4" s="14" t="n">
        <v>7</v>
      </c>
    </row>
    <row r="5" ht="58" customHeight="1">
      <c r="A5" s="2" t="n">
        <v>1</v>
      </c>
      <c r="B5" s="3" t="inlineStr">
        <is>
          <t>Young Goose</t>
        </is>
      </c>
      <c r="C5" s="3" t="inlineStr">
        <is>
          <t>EYEC.A.R.E.</t>
        </is>
      </c>
      <c r="D5" s="3" t="inlineStr">
        <is>
          <t>NAD+ Boosting Eye Cream</t>
        </is>
      </c>
      <c r="E5" s="3" t="inlineStr">
        <is>
          <t>Eye Care</t>
        </is>
      </c>
      <c r="F5" s="3" t="inlineStr">
        <is>
          <t>NAD+ boosting eye cream</t>
        </is>
      </c>
      <c r="G5" s="3" t="inlineStr">
        <is>
          <t>Under-eye fine lines, fatigue appearance, crepiness</t>
        </is>
      </c>
      <c r="H5" s="3" t="inlineStr">
        <is>
          <t>All</t>
        </is>
      </c>
      <c r="I5" s="3" t="inlineStr">
        <is>
          <t>AM/PM</t>
        </is>
      </c>
      <c r="J5" s="3" t="inlineStr">
        <is>
          <t>Avoid direct eye contact</t>
        </is>
      </c>
      <c r="K5" s="3" t="inlineStr">
        <is>
          <t>If under-eye aging/darkness/fatigue is flagged, recommend EYEC.A.R.E.</t>
        </is>
      </c>
      <c r="L5" s="3" t="inlineStr">
        <is>
          <t>Eye cream</t>
        </is>
      </c>
      <c r="M5" s="3" t="inlineStr">
        <is>
          <t>High</t>
        </is>
      </c>
      <c r="N5" s="3" t="inlineStr">
        <is>
          <t>Official collection page</t>
        </is>
      </c>
      <c r="O5" s="4" t="inlineStr">
        <is>
          <t>https://www.younggoose.com/collections/all</t>
        </is>
      </c>
      <c r="P5" s="3" t="inlineStr"/>
      <c r="Q5" s="32" t="n">
        <v>99.5</v>
      </c>
      <c r="R5" s="33" t="inlineStr">
        <is>
          <t>https://www.younggoose.com</t>
        </is>
      </c>
      <c r="S5" s="34" t="inlineStr">
        <is>
          <t>2026-09-04</t>
        </is>
      </c>
      <c r="T5" s="35" t="inlineStr">
        <is>
          <t>No</t>
        </is>
      </c>
      <c r="U5" s="34" t="inlineStr">
        <is>
          <t>Full INCI checked</t>
        </is>
      </c>
      <c r="V5" s="36" t="inlineStr">
        <is>
          <t>Water, Dimethicone, Cyclopentasiloxane, Glycerin, Nicotinamide Mononucleotide, Hyaluronic Acid, Panthenol, Glycosaminoglycans, Acetyl Glutamylheptapeptide-1, Copper Tripeptide-1, Copper PCA, Zinc PCA, Calcium PCA, Laureth-12, Squalene, Santalum Album (Sandalwood) Extract, Phellodendron Amurense Bark Extract, Hordeum Distichon (Barley) Extract, Aloe Barbadensis Leaf Extract, Hydrolyzed Wheat Protein, Phytic Acid, Triticum Vulgare (Wheat) Germ Oil, Linoleic Acid, Simmondsia Chinensis (Jojoba) Seed Oil, Propylene Glycol, Sorbitol, Tocopherol, Urtica Dioica (Nettle) Extract, Equisetum Arvense (Horsetail) Extract, Cucumis Sativus (Cucumber) Extract, Centella Asiatica Extract, Chamomilla Recutita Extract, Chlorella Vulgaris Extract, Hydrolyzed Algin, Lecithin, Phenoxyethanol, Caprylyl Glycol, Ethylhexylglycerin, Hexylene Glycol</t>
        </is>
      </c>
      <c r="W5" s="33" t="inlineStr">
        <is>
          <t>https://www.younggoose.com</t>
        </is>
      </c>
      <c r="X5" s="34" t="inlineStr">
        <is>
          <t>2026-09-04</t>
        </is>
      </c>
      <c r="Y5" s="13" t="inlineStr">
        <is>
          <t>Not reviewed</t>
        </is>
      </c>
      <c r="Z5" s="11" t="n"/>
      <c r="AA5" s="11" t="n"/>
      <c r="AB5" s="37" t="inlineStr">
        <is>
          <t>Fragrant botanicals/EO: Sandalwood extract; chamomile</t>
        </is>
      </c>
      <c r="AC5" s="14" t="inlineStr">
        <is>
          <t>research_only</t>
        </is>
      </c>
      <c r="AD5" s="38" t="inlineStr">
        <is>
          <t>Single size</t>
        </is>
      </c>
      <c r="AE5" s="14" t="n">
        <v>7</v>
      </c>
    </row>
    <row r="6" ht="58" customHeight="1">
      <c r="A6" s="2" t="n">
        <v>1</v>
      </c>
      <c r="B6" s="3" t="inlineStr">
        <is>
          <t>Young Goose</t>
        </is>
      </c>
      <c r="C6" s="3" t="inlineStr">
        <is>
          <t>BIO-SHIELD SPF 40</t>
        </is>
      </c>
      <c r="D6" s="3" t="inlineStr">
        <is>
          <t>Environmental Protection SPF</t>
        </is>
      </c>
      <c r="E6" s="3" t="inlineStr">
        <is>
          <t>Sunscreen</t>
        </is>
      </c>
      <c r="F6" s="3" t="inlineStr">
        <is>
          <t>Defense against UV, blue light &amp; EMFs</t>
        </is>
      </c>
      <c r="G6" s="3" t="inlineStr">
        <is>
          <t>Sun exposure, pigmentation risk, prevention, skin longevity</t>
        </is>
      </c>
      <c r="H6" s="3" t="inlineStr">
        <is>
          <t>All</t>
        </is>
      </c>
      <c r="I6" s="3" t="inlineStr">
        <is>
          <t>AM daily</t>
        </is>
      </c>
      <c r="J6" s="3" t="inlineStr">
        <is>
          <t>Reapply; patch test for reactive skin</t>
        </is>
      </c>
      <c r="K6" s="3" t="inlineStr">
        <is>
          <t>If UV damage, pigmentation, or prevention priority is flagged, recommend daily BIO-SHIELD SPF 40</t>
        </is>
      </c>
      <c r="L6" s="3" t="inlineStr">
        <is>
          <t>Sunscreen</t>
        </is>
      </c>
      <c r="M6" s="3" t="inlineStr">
        <is>
          <t>High</t>
        </is>
      </c>
      <c r="N6" s="3" t="inlineStr">
        <is>
          <t>Official collection page</t>
        </is>
      </c>
      <c r="O6" s="4" t="inlineStr">
        <is>
          <t>https://www.younggoose.com/collections/all</t>
        </is>
      </c>
      <c r="P6" s="3" t="inlineStr"/>
      <c r="Q6" s="32" t="n">
        <v>126.5</v>
      </c>
      <c r="R6" s="33" t="inlineStr">
        <is>
          <t>https://www.younggoose.com</t>
        </is>
      </c>
      <c r="S6" s="34" t="inlineStr">
        <is>
          <t>2026-09-04</t>
        </is>
      </c>
      <c r="T6" s="35" t="inlineStr">
        <is>
          <t>No</t>
        </is>
      </c>
      <c r="U6" s="34" t="inlineStr">
        <is>
          <t>Full INCI checked</t>
        </is>
      </c>
      <c r="V6" s="36" t="inlineStr">
        <is>
          <t>ACTIVE: Non-Nano Zinc Oxide 17%. INACTIVE: Water, Caprylic/Capric Triglyceride, Isododecane, Propanediol, Polyglyceryl-6 Polyricinoleate, C12-15 Alkyl Benzoate, Dimethylmethoxy Chromanol, Dimethicone, Polymethylsilsesquioxane/Trimethylsiloxysilicate, Coco-Caprylate/Caprate, Betula Alba (Birch) Bark Extract, Ethylhexyl Palmitate, Polymethylsilsesquioxane, Disteardimonium Hectorite, Polyglyceryl-10 Dioleate, Polyhydroxystearic Acid, Lecithin, Jojoba Esters, Ectoin, Boswellia Serrata Extract, Polygonum Cuspidatum Root Extract, Centella Asiatica Extract, Butyrospermum Parkii (Shea) Butter, Glycerin, Lavandula Angustifolia (Lavender) Oil, Pelargonium Graveolens (Rose Geranium) Flower Oil, Tapioca Starch Polymethylsilsesquioxane, Propylene Carbonate, Polysilicone-11, Tromethamine, Polyglyceryl-10 Laurate, Octyldodecanol, Trihydroxystearin, Alumina, Silica, Ethylhexylglycerin, Titanium Dioxide (CI 77891), Iron Oxide (CI 77491, CI 77492), Phenoxyethanol</t>
        </is>
      </c>
      <c r="W6" s="33" t="inlineStr">
        <is>
          <t>https://www.younggoose.com</t>
        </is>
      </c>
      <c r="X6" s="34" t="inlineStr">
        <is>
          <t>2026-09-04</t>
        </is>
      </c>
      <c r="Y6" s="13" t="inlineStr">
        <is>
          <t>Not reviewed</t>
        </is>
      </c>
      <c r="Z6" s="11" t="n"/>
      <c r="AA6" s="11" t="n"/>
      <c r="AB6" s="37" t="inlineStr">
        <is>
          <t>Fragrant botanicals/EO: Lavender Oil; Rose Geranium Flower Oil; Frankincense</t>
        </is>
      </c>
      <c r="AC6" s="14" t="inlineStr">
        <is>
          <t>blocked</t>
        </is>
      </c>
      <c r="AD6" s="39" t="inlineStr">
        <is>
          <t>BLOCKER (Phase 9F): publishes an OTC-style ingredient list with NO Drug Facts panel, no warnings, no broad-spectrum statement. US sunscreens are OTC drugs. Cannot be approved until resolved with the brand. | CONFIRMED 2026-09-04: active % IS stated (zinc 17%) but NO Drug Facts panel, NO warnings, NO broad-spectrum statement in page body. Currently SOLD OUT and delisted from /collections/all-products</t>
        </is>
      </c>
      <c r="AE6" s="14" t="inlineStr">
        <is>
          <t>skip</t>
        </is>
      </c>
    </row>
    <row r="7" ht="58" customHeight="1">
      <c r="A7" s="2" t="n">
        <v>1</v>
      </c>
      <c r="B7" s="3" t="inlineStr">
        <is>
          <t>Young Goose</t>
        </is>
      </c>
      <c r="C7" s="3" t="inlineStr">
        <is>
          <t>HYPERBARIC MASK</t>
        </is>
      </c>
      <c r="D7" s="3" t="inlineStr">
        <is>
          <t>Lifting Oxygen Therapy</t>
        </is>
      </c>
      <c r="E7" s="3" t="inlineStr">
        <is>
          <t>Mask / Treatment</t>
        </is>
      </c>
      <c r="F7" s="3" t="inlineStr">
        <is>
          <t>Lifting oxygen therapy</t>
        </is>
      </c>
      <c r="G7" s="3" t="inlineStr">
        <is>
          <t>Dullness, tired skin, event prep, low radiance</t>
        </is>
      </c>
      <c r="H7" s="3" t="inlineStr">
        <is>
          <t>Normal, dry, combination</t>
        </is>
      </c>
      <c r="I7" s="3" t="inlineStr">
        <is>
          <t>Weekly / event prep</t>
        </is>
      </c>
      <c r="J7" s="3" t="inlineStr">
        <is>
          <t>Patch test if reactive</t>
        </is>
      </c>
      <c r="K7" s="3" t="inlineStr">
        <is>
          <t>If radiance score is low or dullness is present, suggest weekly HYPERBARIC MASK</t>
        </is>
      </c>
      <c r="L7" s="3" t="inlineStr">
        <is>
          <t>Weekly mask</t>
        </is>
      </c>
      <c r="M7" s="3" t="inlineStr">
        <is>
          <t>High</t>
        </is>
      </c>
      <c r="N7" s="3" t="inlineStr">
        <is>
          <t>Official collection page</t>
        </is>
      </c>
      <c r="O7" s="4" t="inlineStr">
        <is>
          <t>https://www.younggoose.com/collections/all</t>
        </is>
      </c>
      <c r="P7" s="3" t="inlineStr"/>
      <c r="Q7" s="32" t="n">
        <v>151.5</v>
      </c>
      <c r="R7" s="33" t="inlineStr">
        <is>
          <t>https://www.younggoose.com</t>
        </is>
      </c>
      <c r="S7" s="34" t="inlineStr">
        <is>
          <t>2026-09-04</t>
        </is>
      </c>
      <c r="T7" s="35" t="inlineStr">
        <is>
          <t>No</t>
        </is>
      </c>
      <c r="U7" s="34" t="inlineStr">
        <is>
          <t>Full INCI checked</t>
        </is>
      </c>
      <c r="V7" s="36" t="inlineStr">
        <is>
          <t>Water, Glycerin, Tetrapeptide-4, Yeast Extract, Hydrolyzed Algin, Fragaria Ananassa (Strawberry) Seed Extract, Mannitol, Moringa Oleifera Seed Oil, Sea Water, Sucrose, Melia Azadirachta Extract, Rosa Damascena (Damask Rose) Flower Oil, Carbomer, Sorbitan Oleate Decylglucoside Crosspolymer, Caprylyl Glycol, Sodium Hydroxide, Hexylene Glycol, Tetrasodium Glutamate Diacetate, Propanediol, Phenoxyethanol</t>
        </is>
      </c>
      <c r="W7" s="33" t="inlineStr">
        <is>
          <t>https://www.younggoose.com</t>
        </is>
      </c>
      <c r="X7" s="34" t="inlineStr">
        <is>
          <t>2026-09-04</t>
        </is>
      </c>
      <c r="Y7" s="13" t="inlineStr">
        <is>
          <t>Not reviewed</t>
        </is>
      </c>
      <c r="Z7" s="11" t="n"/>
      <c r="AA7" s="11" t="n"/>
      <c r="AB7" s="37" t="inlineStr">
        <is>
          <t>Fragrant botanicals/EO: Damask Rose Flower Oil</t>
        </is>
      </c>
      <c r="AC7" s="14" t="inlineStr">
        <is>
          <t>research_only</t>
        </is>
      </c>
      <c r="AD7" s="38" t="inlineStr">
        <is>
          <t>Full $151.50 / travel $75</t>
        </is>
      </c>
      <c r="AE7" s="14" t="n">
        <v>7</v>
      </c>
    </row>
    <row r="8" ht="58" customHeight="1">
      <c r="A8" s="2" t="n">
        <v>1</v>
      </c>
      <c r="B8" s="3" t="inlineStr">
        <is>
          <t>Young Goose</t>
        </is>
      </c>
      <c r="C8" s="3" t="inlineStr">
        <is>
          <t>BLUE PEPTIDE SPRAY</t>
        </is>
      </c>
      <c r="D8" s="3" t="inlineStr">
        <is>
          <t>Mitochondrial Upgrade Mist</t>
        </is>
      </c>
      <c r="E8" s="3" t="inlineStr">
        <is>
          <t>Mist / Peptide Support</t>
        </is>
      </c>
      <c r="F8" s="3" t="inlineStr">
        <is>
          <t>Mitochondrial upgrade mist</t>
        </is>
      </c>
      <c r="G8" s="3" t="inlineStr">
        <is>
          <t>Dullness, dryness, skin fatigue, barrier support</t>
        </is>
      </c>
      <c r="H8" s="3" t="inlineStr">
        <is>
          <t>All</t>
        </is>
      </c>
      <c r="I8" s="3" t="inlineStr">
        <is>
          <t>AM/PM, after cleanse</t>
        </is>
      </c>
      <c r="J8" s="3" t="inlineStr">
        <is>
          <t>Patch test; avoid over-layering with irritating actives</t>
        </is>
      </c>
      <c r="K8" s="3" t="inlineStr">
        <is>
          <t>If skin fatigue or low recovery capacity appears, suggest BLUE PEPTIDE SPRAY</t>
        </is>
      </c>
      <c r="L8" s="3" t="inlineStr">
        <is>
          <t>Hydrating mist</t>
        </is>
      </c>
      <c r="M8" s="3" t="inlineStr">
        <is>
          <t>High</t>
        </is>
      </c>
      <c r="N8" s="3" t="inlineStr">
        <is>
          <t>Official collection page</t>
        </is>
      </c>
      <c r="O8" s="4" t="inlineStr">
        <is>
          <t>https://www.younggoose.com/collections/all</t>
        </is>
      </c>
      <c r="P8" s="3" t="inlineStr"/>
      <c r="Q8" s="32" t="n">
        <v>65</v>
      </c>
      <c r="R8" s="33" t="inlineStr">
        <is>
          <t>https://www.younggoose.com</t>
        </is>
      </c>
      <c r="S8" s="34" t="inlineStr">
        <is>
          <t>2026-09-04</t>
        </is>
      </c>
      <c r="T8" s="35" t="inlineStr">
        <is>
          <t>No</t>
        </is>
      </c>
      <c r="U8" s="34" t="inlineStr">
        <is>
          <t>Full INCI checked</t>
        </is>
      </c>
      <c r="V8" s="36" t="inlineStr">
        <is>
          <t>Aqua, Glycerin, Isoprene Glycol, Polysorbate 20, Dipentylene Glycol, Chamomilla Recutita Flower Extract, Copper Tripeptide, Cucumis Sativus Fruit Extract, Aloe Barbadensis Leaf Juice, Helianthus Annuus Sprout Extract, Maltodextrin, Nicotinamide Mononucleotide, Lecithin, Ectoin, Plankton Extract, Spirulina Platensis Extract, Menthyl Nicotinate, Coccinia Indica Fruit Extract, Eclipta Prostrata Extract, 1,2-Hexanediol, Caprylyl Glycol, Vanillyl Butyl Ether, Ergothioneine, Tricholoma Matsutake Mycelium Ferment Extract, Tricholoma Matsutake Extract, Superoxide Dismutase, Methylthioninium Chloride (Methylene Blue)</t>
        </is>
      </c>
      <c r="W8" s="33" t="inlineStr">
        <is>
          <t>https://www.younggoose.com</t>
        </is>
      </c>
      <c r="X8" s="34" t="inlineStr">
        <is>
          <t>2026-09-04</t>
        </is>
      </c>
      <c r="Y8" s="13" t="inlineStr">
        <is>
          <t>Not reviewed</t>
        </is>
      </c>
      <c r="Z8" s="11" t="n"/>
      <c r="AA8" s="11" t="n"/>
      <c r="AB8" s="37" t="inlineStr">
        <is>
          <t>Fragrant botanicals/EO: Chamomile flower extract</t>
        </is>
      </c>
      <c r="AC8" s="14" t="inlineStr">
        <is>
          <t>research_only</t>
        </is>
      </c>
      <c r="AD8" s="38" t="inlineStr">
        <is>
          <t>Contains Menthyl Nicotinate (menthol derivative). Full $65 / travel $35</t>
        </is>
      </c>
      <c r="AE8" s="14" t="n">
        <v>7</v>
      </c>
    </row>
    <row r="9" ht="58" customHeight="1">
      <c r="A9" s="2" t="n">
        <v>1</v>
      </c>
      <c r="B9" s="3" t="inlineStr">
        <is>
          <t>Young Goose</t>
        </is>
      </c>
      <c r="C9" s="3" t="inlineStr">
        <is>
          <t>VAMPIRE EXOSOMES</t>
        </is>
      </c>
      <c r="D9" s="3" t="inlineStr">
        <is>
          <t>Professional Exosome Serum</t>
        </is>
      </c>
      <c r="E9" s="3" t="inlineStr">
        <is>
          <t>Advanced Regenerative Serum</t>
        </is>
      </c>
      <c r="F9" s="3" t="inlineStr">
        <is>
          <t>Professional exosome serum for regeneration and post-treatment recovery</t>
        </is>
      </c>
      <c r="G9" s="3" t="inlineStr">
        <is>
          <t>Post-treatment recovery, inflammation, texture, advanced aging support</t>
        </is>
      </c>
      <c r="H9" s="3" t="inlineStr">
        <is>
          <t>Mature, post-procedure, resilient skin</t>
        </is>
      </c>
      <c r="I9" s="3" t="inlineStr">
        <is>
          <t>PM / post-procedure under professional guidance</t>
        </is>
      </c>
      <c r="J9" s="3" t="inlineStr">
        <is>
          <t>Use professional guidance post-procedure; patch test</t>
        </is>
      </c>
      <c r="K9" s="3" t="inlineStr">
        <is>
          <t>If advanced regenerative/post-treatment recommendation is needed, recommend VAMPIRE EXOSOMES</t>
        </is>
      </c>
      <c r="L9" s="3" t="inlineStr">
        <is>
          <t>Advanced serum</t>
        </is>
      </c>
      <c r="M9" s="3" t="inlineStr">
        <is>
          <t>High</t>
        </is>
      </c>
      <c r="N9" s="3" t="inlineStr">
        <is>
          <t>Official collection page</t>
        </is>
      </c>
      <c r="O9" s="4" t="inlineStr">
        <is>
          <t>https://www.younggoose.com/collections/all</t>
        </is>
      </c>
      <c r="P9" s="3" t="inlineStr"/>
      <c r="Q9" s="32" t="n">
        <v>285</v>
      </c>
      <c r="R9" s="33" t="inlineStr">
        <is>
          <t>https://www.younggoose.com</t>
        </is>
      </c>
      <c r="S9" s="34" t="inlineStr">
        <is>
          <t>2026-09-04</t>
        </is>
      </c>
      <c r="T9" s="40" t="inlineStr">
        <is>
          <t>Yes</t>
        </is>
      </c>
      <c r="U9" s="34" t="inlineStr">
        <is>
          <t>Full INCI checked</t>
        </is>
      </c>
      <c r="V9" s="36" t="inlineStr">
        <is>
          <t>Water, Carbomer, Hydroxyethylcellulose, Carbopol, Isoprene Glycol, Glycerine, Human Platelet Extract, Sodium Chloride, Hyaluronic Acid, Beta-Glucan, Panthenol, Polyacrylate Crosspolymer-6, Phenyl Trimethicone, Helianthus Annuus Sprout Extract, Maltodextrin, Bifida Ferment Filtrate, Pentylene Glycol, 1,2-Hexanediol, Caprylyl Glycol</t>
        </is>
      </c>
      <c r="W9" s="33" t="inlineStr">
        <is>
          <t>https://www.younggoose.com</t>
        </is>
      </c>
      <c r="X9" s="34" t="inlineStr">
        <is>
          <t>2026-09-04</t>
        </is>
      </c>
      <c r="Y9" s="17" t="inlineStr">
        <is>
          <t>PRACTITIONER ONLY (provisional)</t>
        </is>
      </c>
      <c r="Z9" s="11" t="n"/>
      <c r="AA9" s="11" t="n"/>
      <c r="AB9" s="11" t="n"/>
      <c r="AC9" s="14" t="inlineStr">
        <is>
          <t>blocked</t>
        </is>
      </c>
      <c r="AD9" s="39" t="inlineStr">
        <is>
          <t>BLOCKER (Phase 9F): contains human platelet extract in a topical cosmetic. Practitioner and jurisdiction review required before any consumer recommendation. | Human platelet extract confirmed in published INCI. Practitioner/jurisdiction review required</t>
        </is>
      </c>
      <c r="AE9" s="14" t="inlineStr">
        <is>
          <t>skip</t>
        </is>
      </c>
    </row>
    <row r="10" ht="58" customHeight="1">
      <c r="A10" s="2" t="n">
        <v>1</v>
      </c>
      <c r="B10" s="3" t="inlineStr">
        <is>
          <t>Young Goose</t>
        </is>
      </c>
      <c r="C10" s="3" t="inlineStr">
        <is>
          <t>BIO-RETINOL</t>
        </is>
      </c>
      <c r="D10" s="3" t="inlineStr">
        <is>
          <t>Wrinkle Correcting Serum</t>
        </is>
      </c>
      <c r="E10" s="3" t="inlineStr">
        <is>
          <t>Retinol Alternative / Treatment</t>
        </is>
      </c>
      <c r="F10" s="3" t="inlineStr">
        <is>
          <t>Wrinkle correcting serum</t>
        </is>
      </c>
      <c r="G10" s="3" t="inlineStr">
        <is>
          <t>Fine lines, wrinkles, texture, aging prevention</t>
        </is>
      </c>
      <c r="H10" s="3" t="inlineStr">
        <is>
          <t>Normal, combo, mature; retinol-sensitive users</t>
        </is>
      </c>
      <c r="I10" s="3" t="inlineStr">
        <is>
          <t>PM</t>
        </is>
      </c>
      <c r="J10" s="3" t="inlineStr">
        <is>
          <t>Use cautiously with pregnancy unless cleared; avoid stacking with strong acids</t>
        </is>
      </c>
      <c r="K10" s="3" t="inlineStr">
        <is>
          <t>If fine lines + texture but retinoid sensitivity exists, suggest BIO-RETINOL</t>
        </is>
      </c>
      <c r="L10" s="3" t="inlineStr">
        <is>
          <t>Night treatment</t>
        </is>
      </c>
      <c r="M10" s="3" t="inlineStr">
        <is>
          <t>High</t>
        </is>
      </c>
      <c r="N10" s="3" t="inlineStr">
        <is>
          <t>Official collection page</t>
        </is>
      </c>
      <c r="O10" s="4" t="inlineStr">
        <is>
          <t>https://www.younggoose.com/collections/all</t>
        </is>
      </c>
      <c r="P10" s="3" t="inlineStr"/>
      <c r="Q10" s="32" t="n">
        <v>121.5</v>
      </c>
      <c r="R10" s="33" t="inlineStr">
        <is>
          <t>https://www.younggoose.com</t>
        </is>
      </c>
      <c r="S10" s="34" t="inlineStr">
        <is>
          <t>2026-09-04</t>
        </is>
      </c>
      <c r="T10" s="40" t="inlineStr">
        <is>
          <t>Yes</t>
        </is>
      </c>
      <c r="U10" s="34" t="inlineStr">
        <is>
          <t>Full INCI checked</t>
        </is>
      </c>
      <c r="V10" s="36" t="inlineStr">
        <is>
          <t>Dimethiconol, Ethylhexyl Cocoate, Glycine Soja (Soybean) Oil, Retinol, Phospholipids, Glycolipids, Cyclopentasiloxane, Glycine Soja (Soybean) Lecithin, Phenoxyethanol</t>
        </is>
      </c>
      <c r="W10" s="33" t="inlineStr">
        <is>
          <t>https://www.younggoose.com</t>
        </is>
      </c>
      <c r="X10" s="34" t="inlineStr">
        <is>
          <t>2026-09-04</t>
        </is>
      </c>
      <c r="Y10" s="17" t="inlineStr">
        <is>
          <t>AVOID (provisional)</t>
        </is>
      </c>
      <c r="Z10" s="11" t="n"/>
      <c r="AA10" s="11" t="n"/>
      <c r="AB10" s="11" t="n"/>
      <c r="AC10" s="14" t="inlineStr">
        <is>
          <t>research_only</t>
        </is>
      </c>
      <c r="AD10" s="38" t="inlineStr">
        <is>
          <t>Retinol % NOT stated. Delisted from /collections/all-products; reachable via sitemap only</t>
        </is>
      </c>
      <c r="AE10" s="14" t="n">
        <v>7</v>
      </c>
    </row>
    <row r="11" ht="58" customHeight="1">
      <c r="A11" s="2" t="n">
        <v>1</v>
      </c>
      <c r="B11" s="3" t="inlineStr">
        <is>
          <t>Young Goose</t>
        </is>
      </c>
      <c r="C11" s="3" t="inlineStr">
        <is>
          <t>L.A.D.R.</t>
        </is>
      </c>
      <c r="D11" s="3" t="inlineStr">
        <is>
          <t>Red Light-Activated Antioxidant Serum</t>
        </is>
      </c>
      <c r="E11" s="3" t="inlineStr">
        <is>
          <t>Antioxidant Serum</t>
        </is>
      </c>
      <c r="F11" s="3" t="inlineStr">
        <is>
          <t>Red light-activated antioxidant serum</t>
        </is>
      </c>
      <c r="G11" s="3" t="inlineStr">
        <is>
          <t>Oxidative stress, inflammation, red light users, dullness</t>
        </is>
      </c>
      <c r="H11" s="3" t="inlineStr">
        <is>
          <t>All</t>
        </is>
      </c>
      <c r="I11" s="3" t="inlineStr">
        <is>
          <t>AM/PM with red light routine</t>
        </is>
      </c>
      <c r="J11" s="3" t="inlineStr">
        <is>
          <t>Patch test; do not claim device-level effects</t>
        </is>
      </c>
      <c r="K11" s="3" t="inlineStr">
        <is>
          <t>If user uses red light or has oxidative stress markers, recommend L.A.D.R.</t>
        </is>
      </c>
      <c r="L11" s="3" t="inlineStr">
        <is>
          <t>Antioxidant serum</t>
        </is>
      </c>
      <c r="M11" s="3" t="inlineStr">
        <is>
          <t>High</t>
        </is>
      </c>
      <c r="N11" s="3" t="inlineStr">
        <is>
          <t>Official collection page</t>
        </is>
      </c>
      <c r="O11" s="4" t="inlineStr">
        <is>
          <t>https://www.younggoose.com/collections/all</t>
        </is>
      </c>
      <c r="P11" s="3" t="inlineStr"/>
      <c r="Q11" s="32" t="n">
        <v>196.5</v>
      </c>
      <c r="R11" s="33" t="inlineStr">
        <is>
          <t>https://www.younggoose.com</t>
        </is>
      </c>
      <c r="S11" s="34" t="inlineStr">
        <is>
          <t>2026-09-04</t>
        </is>
      </c>
      <c r="T11" s="35" t="inlineStr">
        <is>
          <t>No</t>
        </is>
      </c>
      <c r="U11" s="34" t="inlineStr">
        <is>
          <t>Full INCI checked</t>
        </is>
      </c>
      <c r="V11" s="36" t="inlineStr">
        <is>
          <t>Water, Glycerin, Isoprene Glycol, Resveratrol, Spirulina Platensis Extract, Spermidine (CelVio), Nicotinamide Mononucleotide, Hydroxyethylcellulose, Palmitoyl Hexapeptide-12, Tetrahexyldecyl Ascorbate, Hyaluronic Acid, Squalane, Panthenol, Helianthus Annuus Sprout Extract, Maltodextrin, Camellia Sinensis (White Tea) Leaf Extract, Undecane, Tridecane, Pentaerythrityl Tetraisostearate, Caprylic/Capric Triglyceride, Stearalkonium Hectorite, Propylene Carbonate, Carbomer, Butylene Glycol, Plankton Extract, Ergothioneine, Tricholoma Matsutake Mycelium Ferment Extract, Tricholoma Matsutake Extract, Ectoin, Lavandula Angustifolia (French Lavender) Extract, Lonicera Caprifolium Flower Extract, Lonicera Japonica Flower Extract, Simmondsia Chinensis (Jojoba) Seed Oil, Citric Acid, Melia Azadirachta Leaf Extract, Melia Azadirachta Flower Extract, Corallina Officinalis Extract</t>
        </is>
      </c>
      <c r="W11" s="33" t="inlineStr">
        <is>
          <t>https://www.younggoose.com</t>
        </is>
      </c>
      <c r="X11" s="34" t="inlineStr">
        <is>
          <t>2026-09-04</t>
        </is>
      </c>
      <c r="Y11" s="13" t="inlineStr">
        <is>
          <t>Not reviewed</t>
        </is>
      </c>
      <c r="Z11" s="11" t="n"/>
      <c r="AA11" s="11" t="n"/>
      <c r="AB11" s="37" t="inlineStr">
        <is>
          <t>Fragrant botanicals/EO: Lavender extract; white tea; honeysuckle; neem flower</t>
        </is>
      </c>
      <c r="AC11" s="14" t="inlineStr">
        <is>
          <t>research_only</t>
        </is>
      </c>
      <c r="AD11" s="38" t="inlineStr">
        <is>
          <t>Listed on site as L.A.D.R. SERUM</t>
        </is>
      </c>
      <c r="AE11" s="14" t="n">
        <v>7</v>
      </c>
    </row>
    <row r="12" ht="58" customHeight="1">
      <c r="A12" s="2" t="n">
        <v>1</v>
      </c>
      <c r="B12" s="3" t="inlineStr">
        <is>
          <t>Young Goose</t>
        </is>
      </c>
      <c r="C12" s="3" t="inlineStr">
        <is>
          <t>YOUTH FIRMING NECK &amp; CHEST</t>
        </is>
      </c>
      <c r="D12" s="3" t="inlineStr">
        <is>
          <t>Neck &amp; Décolleté Restoration</t>
        </is>
      </c>
      <c r="E12" s="3" t="inlineStr">
        <is>
          <t>Neck / Body Treatment</t>
        </is>
      </c>
      <c r="F12" s="3" t="inlineStr">
        <is>
          <t>Focused neck and décolleté restoration</t>
        </is>
      </c>
      <c r="G12" s="3" t="inlineStr">
        <is>
          <t>Neck lines, crepey skin, laxity, sun damage neck/chest</t>
        </is>
      </c>
      <c r="H12" s="3" t="inlineStr">
        <is>
          <t>Mature, dry, normal</t>
        </is>
      </c>
      <c r="I12" s="3" t="inlineStr">
        <is>
          <t>AM/PM</t>
        </is>
      </c>
      <c r="J12" s="3" t="inlineStr">
        <is>
          <t>Use SPF on neck/chest during day</t>
        </is>
      </c>
      <c r="K12" s="3" t="inlineStr">
        <is>
          <t>If neck/chest aging or laxity is flagged, recommend this product</t>
        </is>
      </c>
      <c r="L12" s="3" t="inlineStr">
        <is>
          <t>Neck/chest cream</t>
        </is>
      </c>
      <c r="M12" s="3" t="inlineStr">
        <is>
          <t>High</t>
        </is>
      </c>
      <c r="N12" s="3" t="inlineStr">
        <is>
          <t>Official collection page</t>
        </is>
      </c>
      <c r="O12" s="4" t="inlineStr">
        <is>
          <t>https://www.younggoose.com/collections/all</t>
        </is>
      </c>
      <c r="P12" s="3" t="inlineStr"/>
      <c r="Q12" s="32" t="n">
        <v>200</v>
      </c>
      <c r="R12" s="33" t="inlineStr">
        <is>
          <t>https://www.younggoose.com</t>
        </is>
      </c>
      <c r="S12" s="34" t="inlineStr">
        <is>
          <t>2026-09-04</t>
        </is>
      </c>
      <c r="T12" s="35" t="inlineStr">
        <is>
          <t>No</t>
        </is>
      </c>
      <c r="U12" s="34" t="inlineStr">
        <is>
          <t>Full INCI checked</t>
        </is>
      </c>
      <c r="V12" s="36" t="inlineStr">
        <is>
          <t>Water, Caprylic/Capric Triglyceride, Glycerine, Nicotinamide Mononucleotide, Resveratrol, CelVio Spermidine, Palmitoyl Hexapeptide-12, Phenyl Trimethicone, Tetrahexyldecyl Ascorbate, Squalane, Isoprene Glycol, Xylitylglucoside, Anhydroxylitol, Xylitol, Maltodextrin, Hydroxyethyl Acrylate/Sodium Acryloyldimethyl Taurate Copolymer, Shorea Robusta Seed Butter, Cera Alba (Beeswax), Polyglyceryl-3 Distearate, Cetearyl Glucoside, Cetyl Alcohol, Heptyl Undecylenate, Hydroxyethylcellulose, Lonicera Caprifolium Flower Extract, Lonicera Japonica Flower Extract, Simmondsia Chinensis (Jojoba) Seed Oil, Pentaerythrityl Tetraisostearate, Stearalkonium Hectorite, Propylene Carbonate, Disodium EDTA, Pelargonium Graveolens (Geranium) Oil, Citric Acid</t>
        </is>
      </c>
      <c r="W12" s="33" t="inlineStr">
        <is>
          <t>https://www.younggoose.com</t>
        </is>
      </c>
      <c r="X12" s="34" t="inlineStr">
        <is>
          <t>2026-09-04</t>
        </is>
      </c>
      <c r="Y12" s="13" t="inlineStr">
        <is>
          <t>Not reviewed</t>
        </is>
      </c>
      <c r="Z12" s="11" t="n"/>
      <c r="AA12" s="11" t="n"/>
      <c r="AB12" s="37" t="inlineStr">
        <is>
          <t>Fragrant botanicals/EO: Geranium Oil; honeysuckle</t>
        </is>
      </c>
      <c r="AC12" s="14" t="inlineStr">
        <is>
          <t>research_only</t>
        </is>
      </c>
      <c r="AD12" s="38" t="inlineStr">
        <is>
          <t>Full $200 / travel $120</t>
        </is>
      </c>
      <c r="AE12" s="14" t="n">
        <v>7</v>
      </c>
    </row>
    <row r="13" ht="58" customHeight="1">
      <c r="A13" s="2" t="n">
        <v>1</v>
      </c>
      <c r="B13" s="3" t="inlineStr">
        <is>
          <t>Young Goose</t>
        </is>
      </c>
      <c r="C13" s="3" t="inlineStr">
        <is>
          <t>ADAPTOGLOSS</t>
        </is>
      </c>
      <c r="D13" s="3" t="inlineStr">
        <is>
          <t>Lip Plumper</t>
        </is>
      </c>
      <c r="E13" s="3" t="inlineStr">
        <is>
          <t>Lip Treatment</t>
        </is>
      </c>
      <c r="F13" s="3" t="inlineStr">
        <is>
          <t>Lip plumper for volume and smoothness</t>
        </is>
      </c>
      <c r="G13" s="3" t="inlineStr">
        <is>
          <t>Dry lips, lip lines, low lip hydration</t>
        </is>
      </c>
      <c r="H13" s="3" t="inlineStr">
        <is>
          <t>All</t>
        </is>
      </c>
      <c r="I13" s="3" t="inlineStr">
        <is>
          <t>AM/PM / as needed</t>
        </is>
      </c>
      <c r="J13" s="3" t="inlineStr">
        <is>
          <t>Avoid if lip irritation/active dermatitis</t>
        </is>
      </c>
      <c r="K13" s="3" t="inlineStr">
        <is>
          <t>If lip dryness or lip lines are visible, recommend ADAPTOGLOSS</t>
        </is>
      </c>
      <c r="L13" s="3" t="inlineStr">
        <is>
          <t>Lip care</t>
        </is>
      </c>
      <c r="M13" s="3" t="inlineStr">
        <is>
          <t>High</t>
        </is>
      </c>
      <c r="N13" s="3" t="inlineStr">
        <is>
          <t>Official collection page</t>
        </is>
      </c>
      <c r="O13" s="4" t="inlineStr">
        <is>
          <t>https://www.younggoose.com/collections/all</t>
        </is>
      </c>
      <c r="P13" s="3" t="inlineStr"/>
      <c r="Q13" s="32" t="n">
        <v>41.5</v>
      </c>
      <c r="R13" s="33" t="inlineStr">
        <is>
          <t>https://www.younggoose.com</t>
        </is>
      </c>
      <c r="S13" s="34" t="inlineStr">
        <is>
          <t>2026-09-04</t>
        </is>
      </c>
      <c r="T13" s="35" t="inlineStr">
        <is>
          <t>No</t>
        </is>
      </c>
      <c r="U13" s="34" t="inlineStr">
        <is>
          <t>Full INCI checked</t>
        </is>
      </c>
      <c r="V13" s="36" t="inlineStr">
        <is>
          <t>Hydrogenated Polyisobutene, Isononyl Isononanoate, Ethylene/Propylene/Styrene Copolymer, Butylene/Ethylene/Styrene Copolymer, Flavor, Benzyl Nicotinate, Dimethylmethoxy Chromanyl Palmitate, Dimethylmethoxy Chromanol, Palmitoyl Tripeptide-38, Limnanthes Alba (Meadowfoam) Seed Oil, Ricinus Communis (Castor) Seed Oil, Portulaca Pilosa Extract, Sucrose Cocoate, Cetearyl Ethylhexanoate, Glycerin, Phenoxyethanol, Neopentyl Glycol Dicaprylate/Dicaprate, Tridecyl Stearate, Sucralose, Sorbitan Isostearate, Tridecyl Trimellitate, Titanium Dioxide (CI 77891)</t>
        </is>
      </c>
      <c r="W13" s="33" t="inlineStr">
        <is>
          <t>https://www.younggoose.com</t>
        </is>
      </c>
      <c r="X13" s="34" t="inlineStr">
        <is>
          <t>2026-09-04</t>
        </is>
      </c>
      <c r="Y13" s="17" t="inlineStr">
        <is>
          <t>CAUTION (provisional)</t>
        </is>
      </c>
      <c r="Z13" s="11" t="n"/>
      <c r="AA13" s="11" t="n"/>
      <c r="AB13" s="37" t="inlineStr">
        <is>
          <t>Fragrant botanicals/EO: undisclosed Flavor</t>
        </is>
      </c>
      <c r="AC13" s="14" t="inlineStr">
        <is>
          <t>research_only</t>
        </is>
      </c>
      <c r="AD13" s="38" t="inlineStr">
        <is>
          <t>Contains undisclosed 'Flavor' + Sucralose. Lip product</t>
        </is>
      </c>
      <c r="AE13" s="14" t="n">
        <v>7</v>
      </c>
    </row>
    <row r="14" ht="58" customHeight="1">
      <c r="A14" s="2" t="n">
        <v>1</v>
      </c>
      <c r="B14" s="3" t="inlineStr">
        <is>
          <t>Young Goose</t>
        </is>
      </c>
      <c r="C14" s="3" t="inlineStr">
        <is>
          <t>BIO-C PEPTIDE SPRAY</t>
        </is>
      </c>
      <c r="D14" s="3" t="inlineStr">
        <is>
          <t>Hydrating &amp; Toning Peptide Mist</t>
        </is>
      </c>
      <c r="E14" s="3" t="inlineStr">
        <is>
          <t>Mist / Peptide Support</t>
        </is>
      </c>
      <c r="F14" s="3" t="inlineStr">
        <is>
          <t>Hydrating and toning peptide mist</t>
        </is>
      </c>
      <c r="G14" s="3" t="inlineStr">
        <is>
          <t>Dehydration, dullness, tone support</t>
        </is>
      </c>
      <c r="H14" s="3" t="inlineStr">
        <is>
          <t>All</t>
        </is>
      </c>
      <c r="I14" s="3" t="inlineStr">
        <is>
          <t>AM/PM</t>
        </is>
      </c>
      <c r="J14" s="3" t="inlineStr">
        <is>
          <t>Patch test if reactive</t>
        </is>
      </c>
      <c r="K14" s="3" t="inlineStr">
        <is>
          <t>If dehydration + tone support needed, recommend BIO-C PEPTIDE SPRAY</t>
        </is>
      </c>
      <c r="L14" s="3" t="inlineStr">
        <is>
          <t>Hydrating mist</t>
        </is>
      </c>
      <c r="M14" s="3" t="inlineStr">
        <is>
          <t>High</t>
        </is>
      </c>
      <c r="N14" s="3" t="inlineStr">
        <is>
          <t>Official collection page</t>
        </is>
      </c>
      <c r="O14" s="4" t="inlineStr">
        <is>
          <t>https://www.younggoose.com/collections/all</t>
        </is>
      </c>
      <c r="P14" s="3" t="inlineStr"/>
      <c r="Q14" s="11" t="n"/>
      <c r="R14" s="33" t="inlineStr">
        <is>
          <t>https://www.younggoose.com</t>
        </is>
      </c>
      <c r="S14" s="11" t="n"/>
      <c r="T14" s="41" t="inlineStr">
        <is>
          <t>Unknown</t>
        </is>
      </c>
      <c r="U14" s="42" t="inlineStr">
        <is>
          <t>Not checked</t>
        </is>
      </c>
      <c r="V14" s="43" t="inlineStr">
        <is>
          <t>NOT_FOUND</t>
        </is>
      </c>
      <c r="W14" s="11" t="n"/>
      <c r="X14" s="11" t="n"/>
      <c r="Y14" s="13" t="inlineStr">
        <is>
          <t>Not reviewed</t>
        </is>
      </c>
      <c r="Z14" s="11" t="n"/>
      <c r="AA14" s="11" t="n"/>
      <c r="AB14" s="11" t="n"/>
      <c r="AC14" s="14" t="inlineStr">
        <is>
          <t>research_only</t>
        </is>
      </c>
      <c r="AD14" s="38" t="inlineStr">
        <is>
          <t>NOT FOUND: absent from the 54-URL product sitemap and on-site search. Likely discontinued — re-identify or drop</t>
        </is>
      </c>
      <c r="AE14" s="14" t="n">
        <v>7</v>
      </c>
    </row>
    <row r="15" ht="58" customHeight="1">
      <c r="A15" s="2" t="n">
        <v>1</v>
      </c>
      <c r="B15" s="3" t="inlineStr">
        <is>
          <t>Young Goose</t>
        </is>
      </c>
      <c r="C15" s="3" t="inlineStr">
        <is>
          <t>YOUTH FIRMING BODY CREAM</t>
        </is>
      </c>
      <c r="D15" s="3" t="inlineStr">
        <is>
          <t>NAD+ Powered Body Renewal</t>
        </is>
      </c>
      <c r="E15" s="3" t="inlineStr">
        <is>
          <t>Body Cream</t>
        </is>
      </c>
      <c r="F15" s="3" t="inlineStr">
        <is>
          <t>NAD+ powered body renewal</t>
        </is>
      </c>
      <c r="G15" s="3" t="inlineStr">
        <is>
          <t>Body crepiness, dryness, aging skin on body</t>
        </is>
      </c>
      <c r="H15" s="3" t="inlineStr">
        <is>
          <t>Dry, mature, normal</t>
        </is>
      </c>
      <c r="I15" s="3" t="inlineStr">
        <is>
          <t>Daily body care</t>
        </is>
      </c>
      <c r="J15" s="3" t="inlineStr">
        <is>
          <t>Avoid broken/irritated skin</t>
        </is>
      </c>
      <c r="K15" s="3" t="inlineStr">
        <is>
          <t>If body skin aging/dryness is a concern, recommend YOUTH FIRMING BODY CREAM</t>
        </is>
      </c>
      <c r="L15" s="3" t="inlineStr">
        <is>
          <t>Body moisturizer</t>
        </is>
      </c>
      <c r="M15" s="3" t="inlineStr">
        <is>
          <t>High</t>
        </is>
      </c>
      <c r="N15" s="3" t="inlineStr">
        <is>
          <t>Official collection page</t>
        </is>
      </c>
      <c r="O15" s="4" t="inlineStr">
        <is>
          <t>https://www.younggoose.com/collections/all</t>
        </is>
      </c>
      <c r="P15" s="3" t="inlineStr"/>
      <c r="Q15" s="32" t="n">
        <v>125</v>
      </c>
      <c r="R15" s="33" t="inlineStr">
        <is>
          <t>https://www.younggoose.com</t>
        </is>
      </c>
      <c r="S15" s="34" t="inlineStr">
        <is>
          <t>2026-09-04</t>
        </is>
      </c>
      <c r="T15" s="35" t="inlineStr">
        <is>
          <t>No</t>
        </is>
      </c>
      <c r="U15" s="34" t="inlineStr">
        <is>
          <t>Full INCI checked</t>
        </is>
      </c>
      <c r="V15" s="36" t="inlineStr">
        <is>
          <t>Water, Caprylic/Capric Triglyceride, Glycerin, Phenyl Trimethicone, Nicotinamide Mononucleotide, Caprooyl Tetrapeptide-3, Palmitoyl Hexapeptide-12, Spermidine, Isoprene Glycol, Ergothioneine, Helianthus Annuus Sprout Extract, Maltodextrin, Tricholoma Matsutake Mycelium Ferment Extract, Tricholoma Matsutake Extract, Shorea Robusta Seed Butter, Hydroxyethyl Acrylate/Sodium Acryloyldimethyl Taurate Copolymer, Polyglyceryl-3 Distearate, Rosa Damascena Flower Wax, Heptyl Undecylenate, Isoamyl Laurate, Pentaerythrityl Tetraisostearate, Stearalkonium Hectorite, Propylene Carbonate, Cetyl Alcohol, Dextran, Hydroxyethylcellulose, Lonicera Caprifolium Flower Extract, Lonicera Japonica Flower Extract, Simmondsia Chinensis (Jojoba) Seed Oil, Trisodium EDTA, Cymbopogon Flexuosus (Lemongrass) Leaf Oil, Citric Acid</t>
        </is>
      </c>
      <c r="W15" s="33" t="inlineStr">
        <is>
          <t>https://www.younggoose.com</t>
        </is>
      </c>
      <c r="X15" s="34" t="inlineStr">
        <is>
          <t>2026-09-04</t>
        </is>
      </c>
      <c r="Y15" s="13" t="inlineStr">
        <is>
          <t>Not reviewed</t>
        </is>
      </c>
      <c r="Z15" s="11" t="n"/>
      <c r="AA15" s="11" t="n"/>
      <c r="AB15" s="37" t="inlineStr">
        <is>
          <t>Fragrant botanicals/EO: Lemongrass Leaf Oil; Damask Rose Flower Wax; honeysuckle</t>
        </is>
      </c>
      <c r="AC15" s="14" t="inlineStr">
        <is>
          <t>research_only</t>
        </is>
      </c>
      <c r="AD15" s="38" t="inlineStr">
        <is>
          <t>Regular $125, on 20% sale at capture</t>
        </is>
      </c>
      <c r="AE15" s="14" t="n">
        <v>7</v>
      </c>
    </row>
    <row r="16" ht="58" customHeight="1">
      <c r="A16" s="2" t="n">
        <v>1</v>
      </c>
      <c r="B16" s="3" t="inlineStr">
        <is>
          <t>Young Goose</t>
        </is>
      </c>
      <c r="C16" s="3" t="inlineStr">
        <is>
          <t>AMPLIFYING ESSENCE</t>
        </is>
      </c>
      <c r="D16" s="3" t="inlineStr">
        <is>
          <t>Hydration-Enhancing Essence</t>
        </is>
      </c>
      <c r="E16" s="3" t="inlineStr">
        <is>
          <t>Essence</t>
        </is>
      </c>
      <c r="F16" s="3" t="inlineStr">
        <is>
          <t>Hydration-enhancing essence</t>
        </is>
      </c>
      <c r="G16" s="3" t="inlineStr">
        <is>
          <t>Dehydration, dullness, product absorption support</t>
        </is>
      </c>
      <c r="H16" s="3" t="inlineStr">
        <is>
          <t>Dry, normal, combination</t>
        </is>
      </c>
      <c r="I16" s="3" t="inlineStr">
        <is>
          <t>AM/PM after cleanse</t>
        </is>
      </c>
      <c r="J16" s="3" t="inlineStr">
        <is>
          <t>Patch test</t>
        </is>
      </c>
      <c r="K16" s="3" t="inlineStr">
        <is>
          <t>If hydration score is low but user wants lightweight layers, recommend AMPLIFYING ESSENCE</t>
        </is>
      </c>
      <c r="L16" s="3" t="inlineStr">
        <is>
          <t>Essence</t>
        </is>
      </c>
      <c r="M16" s="3" t="inlineStr">
        <is>
          <t>High</t>
        </is>
      </c>
      <c r="N16" s="3" t="inlineStr">
        <is>
          <t>Official collection page</t>
        </is>
      </c>
      <c r="O16" s="4" t="inlineStr">
        <is>
          <t>https://www.younggoose.com/collections/all</t>
        </is>
      </c>
      <c r="P16" s="3" t="inlineStr"/>
      <c r="Q16" s="32" t="n">
        <v>121.5</v>
      </c>
      <c r="R16" s="33" t="inlineStr">
        <is>
          <t>https://www.younggoose.com</t>
        </is>
      </c>
      <c r="S16" s="34" t="inlineStr">
        <is>
          <t>2026-09-04</t>
        </is>
      </c>
      <c r="T16" s="40" t="inlineStr">
        <is>
          <t>Yes</t>
        </is>
      </c>
      <c r="U16" s="34" t="inlineStr">
        <is>
          <t>Full INCI checked</t>
        </is>
      </c>
      <c r="V16" s="36" t="inlineStr">
        <is>
          <t>Aqua, Nicotinamide, Ectoin, Glycerol, Saccharomyces Cerevisiae Extract, Simmondsia Chinensis Seed Oil Nano-Particles, Squalane, Phospholipids, Sodium Hyaluronate, Caprylic/Capric Triglyceride, Sodium Polyacryloyldimethyl Taurate, Propanediol, Tetrasodium Glutamate Diacetate, Citric Acid, Xanthan Gum, Ethylhexylglycerin, Phenoxyethanol</t>
        </is>
      </c>
      <c r="W16" s="33" t="inlineStr">
        <is>
          <t>https://www.younggoose.com</t>
        </is>
      </c>
      <c r="X16" s="34" t="inlineStr">
        <is>
          <t>2026-09-04</t>
        </is>
      </c>
      <c r="Y16" s="13" t="inlineStr">
        <is>
          <t>Not reviewed</t>
        </is>
      </c>
      <c r="Z16" s="11" t="n"/>
      <c r="AA16" s="11" t="n"/>
      <c r="AB16" s="11" t="n"/>
      <c r="AC16" s="14" t="inlineStr">
        <is>
          <t>research_only</t>
        </is>
      </c>
      <c r="AD16" s="38" t="inlineStr">
        <is>
          <t>Published INCI contains non-INCI code string 'A845925 Nicotinamide'</t>
        </is>
      </c>
      <c r="AE16" s="14" t="n">
        <v>7</v>
      </c>
    </row>
    <row r="17" ht="58" customHeight="1">
      <c r="A17" s="2" t="n">
        <v>1</v>
      </c>
      <c r="B17" s="3" t="inlineStr">
        <is>
          <t>Young Goose</t>
        </is>
      </c>
      <c r="C17" s="3" t="inlineStr">
        <is>
          <t>BIO-BARRIER</t>
        </is>
      </c>
      <c r="D17" s="3" t="inlineStr">
        <is>
          <t>Redness-Reducing Repair Serum</t>
        </is>
      </c>
      <c r="E17" s="3" t="inlineStr">
        <is>
          <t>Barrier Serum</t>
        </is>
      </c>
      <c r="F17" s="3" t="inlineStr">
        <is>
          <t>Redness-reducing repair serum</t>
        </is>
      </c>
      <c r="G17" s="3" t="inlineStr">
        <is>
          <t>Redness, reactivity, barrier stress, inflammation</t>
        </is>
      </c>
      <c r="H17" s="3" t="inlineStr">
        <is>
          <t>Sensitive, reactive, dry</t>
        </is>
      </c>
      <c r="I17" s="3" t="inlineStr">
        <is>
          <t>AM/PM</t>
        </is>
      </c>
      <c r="J17" s="3" t="inlineStr">
        <is>
          <t>Patch test; avoid excess actives during flare</t>
        </is>
      </c>
      <c r="K17" s="3" t="inlineStr">
        <is>
          <t>If inflammation/redness/barrier stress is high, recommend BIO-BARRIER</t>
        </is>
      </c>
      <c r="L17" s="3" t="inlineStr">
        <is>
          <t>Barrier serum</t>
        </is>
      </c>
      <c r="M17" s="3" t="inlineStr">
        <is>
          <t>High</t>
        </is>
      </c>
      <c r="N17" s="3" t="inlineStr">
        <is>
          <t>Official collection page</t>
        </is>
      </c>
      <c r="O17" s="4" t="inlineStr">
        <is>
          <t>https://www.younggoose.com/collections/all</t>
        </is>
      </c>
      <c r="P17" s="3" t="inlineStr"/>
      <c r="Q17" s="32" t="n">
        <v>181.5</v>
      </c>
      <c r="R17" s="33" t="inlineStr">
        <is>
          <t>https://www.younggoose.com</t>
        </is>
      </c>
      <c r="S17" s="34" t="inlineStr">
        <is>
          <t>2026-09-04</t>
        </is>
      </c>
      <c r="T17" s="40" t="inlineStr">
        <is>
          <t>Yes</t>
        </is>
      </c>
      <c r="U17" s="34" t="inlineStr">
        <is>
          <t>Full INCI checked</t>
        </is>
      </c>
      <c r="V17" s="36" t="inlineStr">
        <is>
          <t>Cyclopentasiloxane, Dimethylmethoxy Chromanol, Octyl Cocoate, Glycolipids, Dimethiconol, Glyceryl Linoleate, Glyceryl Linolenate, Alpha Tocopheryl Acetate, Lecithin, Phenoxyethanol</t>
        </is>
      </c>
      <c r="W17" s="33" t="inlineStr">
        <is>
          <t>https://www.younggoose.com</t>
        </is>
      </c>
      <c r="X17" s="34" t="inlineStr">
        <is>
          <t>2026-09-04</t>
        </is>
      </c>
      <c r="Y17" s="13" t="inlineStr">
        <is>
          <t>Not reviewed</t>
        </is>
      </c>
      <c r="Z17" s="11" t="n"/>
      <c r="AA17" s="11" t="n"/>
      <c r="AB17" s="11" t="n"/>
      <c r="AC17" s="14" t="inlineStr">
        <is>
          <t>research_only</t>
        </is>
      </c>
      <c r="AD17" s="38" t="inlineStr">
        <is>
          <t>Delisted from /collections/all-products; sitemap only</t>
        </is>
      </c>
      <c r="AE17" s="14" t="n">
        <v>7</v>
      </c>
    </row>
    <row r="18" ht="58" customHeight="1">
      <c r="A18" s="2" t="n">
        <v>1</v>
      </c>
      <c r="B18" s="3" t="inlineStr">
        <is>
          <t>Young Goose</t>
        </is>
      </c>
      <c r="C18" s="3" t="inlineStr">
        <is>
          <t>NIAPOLISH</t>
        </is>
      </c>
      <c r="D18" s="3" t="inlineStr">
        <is>
          <t>Brightening &amp; Smoothing Exfoliator</t>
        </is>
      </c>
      <c r="E18" s="3" t="inlineStr">
        <is>
          <t>Exfoliant</t>
        </is>
      </c>
      <c r="F18" s="3" t="inlineStr">
        <is>
          <t>Brightening and smoothing exfoliator</t>
        </is>
      </c>
      <c r="G18" s="3" t="inlineStr">
        <is>
          <t>Texture, dullness, pigmentation, clogged pores</t>
        </is>
      </c>
      <c r="H18" s="3" t="inlineStr">
        <is>
          <t>Normal, oily, combination</t>
        </is>
      </c>
      <c r="I18" s="3" t="inlineStr">
        <is>
          <t>1–2x/week PM</t>
        </is>
      </c>
      <c r="J18" s="3" t="inlineStr">
        <is>
          <t>Avoid overuse; caution with sensitive/rosacea/barrier damage</t>
        </is>
      </c>
      <c r="K18" s="3" t="inlineStr">
        <is>
          <t>If texture + dullness + pores are high and sensitivity is low, recommend NIAPOLISH</t>
        </is>
      </c>
      <c r="L18" s="3" t="inlineStr">
        <is>
          <t>Exfoliation</t>
        </is>
      </c>
      <c r="M18" s="3" t="inlineStr">
        <is>
          <t>High</t>
        </is>
      </c>
      <c r="N18" s="3" t="inlineStr">
        <is>
          <t>Official collection page</t>
        </is>
      </c>
      <c r="O18" s="4" t="inlineStr">
        <is>
          <t>https://www.younggoose.com/collections/all</t>
        </is>
      </c>
      <c r="P18" s="3" t="inlineStr"/>
      <c r="Q18" s="32" t="n">
        <v>151.5</v>
      </c>
      <c r="R18" s="33" t="inlineStr">
        <is>
          <t>https://www.younggoose.com</t>
        </is>
      </c>
      <c r="S18" s="34" t="inlineStr">
        <is>
          <t>2026-09-04</t>
        </is>
      </c>
      <c r="T18" s="40" t="inlineStr">
        <is>
          <t>Yes</t>
        </is>
      </c>
      <c r="U18" s="34" t="inlineStr">
        <is>
          <t>Full INCI checked</t>
        </is>
      </c>
      <c r="V18" s="36" t="inlineStr">
        <is>
          <t>Water, Polyhydroxybutyrate, Lactobacillus/Punica Granatum Fruit Ferment Extract, Sucrose Cocoate, Carthamus Tinctorius (Safflower) Seed Oil, Glycerin, Niacinamide, Panthenol, Cetyl Alcohol, Stearic Acid, Cocos Nucifera (Coconut) Oil, Sodium Lauroyl Sarcosinate, Glyceryl Stearate SE, Carrageenan, Carbomer, Sorbitan Stearate, Sodium Hydroxide, Ethylhexylglycerin, Phenoxyethanol</t>
        </is>
      </c>
      <c r="W18" s="33" t="inlineStr">
        <is>
          <t>https://www.younggoose.com</t>
        </is>
      </c>
      <c r="X18" s="34" t="inlineStr">
        <is>
          <t>2026-09-04</t>
        </is>
      </c>
      <c r="Y18" s="17" t="inlineStr">
        <is>
          <t>CAUTION (provisional)</t>
        </is>
      </c>
      <c r="Z18" s="11" t="n"/>
      <c r="AA18" s="11" t="n"/>
      <c r="AB18" s="11" t="n"/>
      <c r="AC18" s="14" t="inlineStr">
        <is>
          <t>research_only</t>
        </is>
      </c>
      <c r="AD18" s="38" t="inlineStr">
        <is>
          <t>URL slug is 'probiotic-polish'; delisted from /collections/all-products</t>
        </is>
      </c>
      <c r="AE18" s="14" t="n">
        <v>7</v>
      </c>
    </row>
    <row r="19" ht="58" customHeight="1">
      <c r="A19" s="2" t="n">
        <v>1</v>
      </c>
      <c r="B19" s="3" t="inlineStr">
        <is>
          <t>Young Goose</t>
        </is>
      </c>
      <c r="C19" s="3" t="inlineStr">
        <is>
          <t>BLUE PEPTIDE SPRAY 15 mL</t>
        </is>
      </c>
      <c r="D19" s="3" t="inlineStr">
        <is>
          <t>Travel Peptide Mist</t>
        </is>
      </c>
      <c r="E19" s="3" t="inlineStr">
        <is>
          <t>Mist / Travel</t>
        </is>
      </c>
      <c r="F19" s="3" t="inlineStr">
        <is>
          <t>Travel size blue peptide spray</t>
        </is>
      </c>
      <c r="G19" s="3" t="inlineStr">
        <is>
          <t>Travel dryness, skin fatigue</t>
        </is>
      </c>
      <c r="H19" s="3" t="inlineStr">
        <is>
          <t>All</t>
        </is>
      </c>
      <c r="I19" s="3" t="inlineStr">
        <is>
          <t>Travel / AM/PM</t>
        </is>
      </c>
      <c r="J19" s="3" t="inlineStr">
        <is>
          <t>Patch test</t>
        </is>
      </c>
      <c r="K19" s="3" t="inlineStr">
        <is>
          <t>Recommend as travel-size version of BLUE PEPTIDE SPRAY</t>
        </is>
      </c>
      <c r="L19" s="3" t="inlineStr">
        <is>
          <t>Travel care</t>
        </is>
      </c>
      <c r="M19" s="3" t="inlineStr">
        <is>
          <t>Medium</t>
        </is>
      </c>
      <c r="N19" s="3" t="inlineStr">
        <is>
          <t>Official collection page</t>
        </is>
      </c>
      <c r="O19" s="4" t="inlineStr">
        <is>
          <t>https://www.younggoose.com/collections/all</t>
        </is>
      </c>
      <c r="P19" s="3" t="inlineStr"/>
      <c r="Q19" s="32" t="n">
        <v>35</v>
      </c>
      <c r="R19" s="33" t="inlineStr">
        <is>
          <t>https://www.younggoose.com</t>
        </is>
      </c>
      <c r="S19" s="34" t="inlineStr">
        <is>
          <t>2026-09-04</t>
        </is>
      </c>
      <c r="T19" s="35" t="inlineStr">
        <is>
          <t>No</t>
        </is>
      </c>
      <c r="U19" s="34" t="inlineStr">
        <is>
          <t>Full INCI checked</t>
        </is>
      </c>
      <c r="V19" s="36" t="inlineStr">
        <is>
          <t>Aqua, Glycerin, Isoprene Glycol, Polysorbate 20, Dipentylene Glycol, Chamomilla Recutita Flower Extract, Copper Tripeptide, Cucumis Sativus Fruit Extract, Aloe Barbadensis Leaf Juice, Helianthus Annuus Sprout Extract, Maltodextrin, Nicotinamide Mononucleotide, Lecithin, Ectoin, Plankton Extract, Spirulina Platensis Extract, Menthyl Nicotinate, Coccinia Indica Fruit Extract, Eclipta Prostrata Extract, 1,2-Hexanediol, Caprylyl Glycol, Vanillyl Butyl Ether, Ergothioneine, Tricholoma Matsutake Mycelium Ferment Extract, Tricholoma Matsutake Extract, Superoxide Dismutase, Methylthioninium Chloride (Methylene Blue)</t>
        </is>
      </c>
      <c r="W19" s="33" t="inlineStr">
        <is>
          <t>https://www.younggoose.com</t>
        </is>
      </c>
      <c r="X19" s="34" t="inlineStr">
        <is>
          <t>2026-09-04</t>
        </is>
      </c>
      <c r="Y19" s="13" t="inlineStr">
        <is>
          <t>Not reviewed</t>
        </is>
      </c>
      <c r="Z19" s="11" t="n"/>
      <c r="AA19" s="11" t="n"/>
      <c r="AB19" s="37" t="inlineStr">
        <is>
          <t>Fragrant botanicals/EO: Chamomile flower extract</t>
        </is>
      </c>
      <c r="AC19" s="14" t="inlineStr">
        <is>
          <t>research_only</t>
        </is>
      </c>
      <c r="AD19" s="38" t="inlineStr">
        <is>
          <t>Travel variant of BLUE PEPTIDE SPRAY, not a separate page. 15 mL volume NOT printed on page</t>
        </is>
      </c>
      <c r="AE19" s="14" t="n">
        <v>5</v>
      </c>
    </row>
    <row r="20" ht="58" customHeight="1">
      <c r="A20" s="2" t="n">
        <v>1</v>
      </c>
      <c r="B20" s="3" t="inlineStr">
        <is>
          <t>Young Goose</t>
        </is>
      </c>
      <c r="C20" s="3" t="inlineStr">
        <is>
          <t>TRAVEL SIZE BIO-C PEPTIDE SPRAY</t>
        </is>
      </c>
      <c r="D20" s="3" t="inlineStr">
        <is>
          <t>Travel Hydrating Peptide Mist</t>
        </is>
      </c>
      <c r="E20" s="3" t="inlineStr">
        <is>
          <t>Mist / Travel</t>
        </is>
      </c>
      <c r="F20" s="3" t="inlineStr">
        <is>
          <t>Travel size hydrating peptide mist</t>
        </is>
      </c>
      <c r="G20" s="3" t="inlineStr">
        <is>
          <t>Travel dehydration, dullness</t>
        </is>
      </c>
      <c r="H20" s="3" t="inlineStr">
        <is>
          <t>All</t>
        </is>
      </c>
      <c r="I20" s="3" t="inlineStr">
        <is>
          <t>Travel / AM/PM</t>
        </is>
      </c>
      <c r="J20" s="3" t="inlineStr">
        <is>
          <t>Patch test</t>
        </is>
      </c>
      <c r="K20" s="3" t="inlineStr">
        <is>
          <t>Recommend as travel-size version of BIO-C PEPTIDE SPRAY</t>
        </is>
      </c>
      <c r="L20" s="3" t="inlineStr">
        <is>
          <t>Travel care</t>
        </is>
      </c>
      <c r="M20" s="3" t="inlineStr">
        <is>
          <t>Medium</t>
        </is>
      </c>
      <c r="N20" s="3" t="inlineStr">
        <is>
          <t>Official collection page</t>
        </is>
      </c>
      <c r="O20" s="4" t="inlineStr">
        <is>
          <t>https://www.younggoose.com/collections/all</t>
        </is>
      </c>
      <c r="P20" s="3" t="inlineStr"/>
      <c r="Q20" s="11" t="n"/>
      <c r="R20" s="33" t="inlineStr">
        <is>
          <t>https://www.younggoose.com</t>
        </is>
      </c>
      <c r="S20" s="11" t="n"/>
      <c r="T20" s="41" t="inlineStr">
        <is>
          <t>Unknown</t>
        </is>
      </c>
      <c r="U20" s="42" t="inlineStr">
        <is>
          <t>Not checked</t>
        </is>
      </c>
      <c r="V20" s="43" t="inlineStr">
        <is>
          <t>NOT_FOUND</t>
        </is>
      </c>
      <c r="W20" s="11" t="n"/>
      <c r="X20" s="11" t="n"/>
      <c r="Y20" s="13" t="inlineStr">
        <is>
          <t>Not reviewed</t>
        </is>
      </c>
      <c r="Z20" s="11" t="n"/>
      <c r="AA20" s="11" t="n"/>
      <c r="AB20" s="11" t="n"/>
      <c r="AC20" s="14" t="inlineStr">
        <is>
          <t>research_only</t>
        </is>
      </c>
      <c r="AD20" s="38" t="inlineStr">
        <is>
          <t>NOT FOUND: parent product absent from sitemap. Likely discontinued</t>
        </is>
      </c>
      <c r="AE20" s="14" t="n">
        <v>5</v>
      </c>
    </row>
    <row r="21" ht="58" customHeight="1">
      <c r="A21" s="2" t="n">
        <v>1</v>
      </c>
      <c r="B21" s="3" t="inlineStr">
        <is>
          <t>Young Goose</t>
        </is>
      </c>
      <c r="C21" s="3" t="inlineStr">
        <is>
          <t>CELLULAR DUO: NAD+ SPERMIDINE SKIN &amp; SUPPLEMENT SYSTEM</t>
        </is>
      </c>
      <c r="D21" s="3" t="inlineStr">
        <is>
          <t>Bundle/System</t>
        </is>
      </c>
      <c r="E21" s="3" t="inlineStr">
        <is>
          <t>Longevity System</t>
        </is>
      </c>
      <c r="F21" s="3" t="inlineStr">
        <is>
          <t>NAD+ + spermidine skin and supplement system</t>
        </is>
      </c>
      <c r="G21" s="3" t="inlineStr">
        <is>
          <t>Advanced longevity, skin age optimization, whole-system support</t>
        </is>
      </c>
      <c r="H21" s="3" t="inlineStr">
        <is>
          <t>Mature, longevity-focused</t>
        </is>
      </c>
      <c r="I21" s="3" t="inlineStr">
        <is>
          <t>Per system directions</t>
        </is>
      </c>
      <c r="J21" s="3" t="inlineStr">
        <is>
          <t>Supplement cautions apply; check contraindications</t>
        </is>
      </c>
      <c r="K21" s="3" t="inlineStr">
        <is>
          <t>If user wants advanced inside-out skin longevity, recommend Cellular Duo</t>
        </is>
      </c>
      <c r="L21" s="3" t="inlineStr">
        <is>
          <t>System</t>
        </is>
      </c>
      <c r="M21" s="3" t="inlineStr">
        <is>
          <t>High</t>
        </is>
      </c>
      <c r="N21" s="3" t="inlineStr">
        <is>
          <t>Official collection page</t>
        </is>
      </c>
      <c r="O21" s="4" t="inlineStr">
        <is>
          <t>https://www.younggoose.com/collections/all</t>
        </is>
      </c>
      <c r="P21" s="3" t="inlineStr"/>
      <c r="Q21" s="32" t="n">
        <v>477.5</v>
      </c>
      <c r="R21" s="33" t="inlineStr">
        <is>
          <t>https://www.younggoose.com</t>
        </is>
      </c>
      <c r="S21" s="34" t="inlineStr">
        <is>
          <t>2026-09-04</t>
        </is>
      </c>
      <c r="T21" s="41" t="inlineStr">
        <is>
          <t>Unknown</t>
        </is>
      </c>
      <c r="U21" s="42" t="inlineStr">
        <is>
          <t>Not applicable - bundle</t>
        </is>
      </c>
      <c r="V21" s="44" t="inlineStr">
        <is>
          <t>BUNDLE</t>
        </is>
      </c>
      <c r="W21" s="11" t="n"/>
      <c r="X21" s="11" t="n"/>
      <c r="Y21" s="13" t="inlineStr">
        <is>
          <t>Not reviewed</t>
        </is>
      </c>
      <c r="Z21" s="11" t="n"/>
      <c r="AA21" s="11" t="n"/>
      <c r="AB21" s="11" t="n"/>
      <c r="AC21" s="14" t="inlineStr">
        <is>
          <t>research_only</t>
        </is>
      </c>
      <c r="AD21" s="38" t="inlineStr">
        <is>
          <t>Bundle — no single INCI</t>
        </is>
      </c>
      <c r="AE21" s="14" t="n">
        <v>4</v>
      </c>
    </row>
    <row r="22" ht="58" customHeight="1">
      <c r="A22" s="2" t="n">
        <v>1</v>
      </c>
      <c r="B22" s="3" t="inlineStr">
        <is>
          <t>Young Goose</t>
        </is>
      </c>
      <c r="C22" s="3" t="inlineStr">
        <is>
          <t>MINIMAL BIOHACK AGING SYSTEM</t>
        </is>
      </c>
      <c r="D22" s="3" t="inlineStr">
        <is>
          <t>Bundle/System</t>
        </is>
      </c>
      <c r="E22" s="3" t="inlineStr">
        <is>
          <t>Aging System</t>
        </is>
      </c>
      <c r="F22" s="3" t="inlineStr">
        <is>
          <t>Minimal aging protocol system</t>
        </is>
      </c>
      <c r="G22" s="3" t="inlineStr">
        <is>
          <t>Early aging, prevention, simplified routine</t>
        </is>
      </c>
      <c r="H22" s="3" t="inlineStr">
        <is>
          <t>All</t>
        </is>
      </c>
      <c r="I22" s="3" t="inlineStr">
        <is>
          <t>System routine</t>
        </is>
      </c>
      <c r="J22" s="3" t="inlineStr">
        <is>
          <t>Avoid duplicate actives if already using strong treatments</t>
        </is>
      </c>
      <c r="K22" s="3" t="inlineStr">
        <is>
          <t>If user wants simple anti-aging bundle, recommend Minimal Biohack Aging System</t>
        </is>
      </c>
      <c r="L22" s="3" t="inlineStr">
        <is>
          <t>System</t>
        </is>
      </c>
      <c r="M22" s="3" t="inlineStr">
        <is>
          <t>High</t>
        </is>
      </c>
      <c r="N22" s="3" t="inlineStr">
        <is>
          <t>Official collection page</t>
        </is>
      </c>
      <c r="O22" s="4" t="inlineStr">
        <is>
          <t>https://www.younggoose.com/collections/all</t>
        </is>
      </c>
      <c r="P22" s="3" t="inlineStr"/>
      <c r="Q22" s="32" t="n">
        <v>354.35</v>
      </c>
      <c r="R22" s="33" t="inlineStr">
        <is>
          <t>https://www.younggoose.com</t>
        </is>
      </c>
      <c r="S22" s="34" t="inlineStr">
        <is>
          <t>2026-09-04</t>
        </is>
      </c>
      <c r="T22" s="41" t="inlineStr">
        <is>
          <t>Unknown</t>
        </is>
      </c>
      <c r="U22" s="42" t="inlineStr">
        <is>
          <t>Not applicable - bundle</t>
        </is>
      </c>
      <c r="V22" s="44" t="inlineStr">
        <is>
          <t>BUNDLE</t>
        </is>
      </c>
      <c r="W22" s="11" t="n"/>
      <c r="X22" s="11" t="n"/>
      <c r="Y22" s="13" t="inlineStr">
        <is>
          <t>Not reviewed</t>
        </is>
      </c>
      <c r="Z22" s="11" t="n"/>
      <c r="AA22" s="11" t="n"/>
      <c r="AB22" s="11" t="n"/>
      <c r="AC22" s="14" t="inlineStr">
        <is>
          <t>research_only</t>
        </is>
      </c>
      <c r="AD22" s="38" t="inlineStr">
        <is>
          <t>Bundle</t>
        </is>
      </c>
      <c r="AE22" s="14" t="n">
        <v>4</v>
      </c>
    </row>
    <row r="23" ht="58" customHeight="1">
      <c r="A23" s="2" t="n">
        <v>1</v>
      </c>
      <c r="B23" s="3" t="inlineStr">
        <is>
          <t>Young Goose</t>
        </is>
      </c>
      <c r="C23" s="3" t="inlineStr">
        <is>
          <t>STANDARD AGING SYSTEM</t>
        </is>
      </c>
      <c r="D23" s="3" t="inlineStr">
        <is>
          <t>Bundle/System</t>
        </is>
      </c>
      <c r="E23" s="3" t="inlineStr">
        <is>
          <t>Aging System</t>
        </is>
      </c>
      <c r="F23" s="3" t="inlineStr">
        <is>
          <t>Targets skin biological age</t>
        </is>
      </c>
      <c r="G23" s="3" t="inlineStr">
        <is>
          <t>Moderate aging markers, fine lines, dullness</t>
        </is>
      </c>
      <c r="H23" s="3" t="inlineStr">
        <is>
          <t>Normal, dry, mature</t>
        </is>
      </c>
      <c r="I23" s="3" t="inlineStr">
        <is>
          <t>System routine</t>
        </is>
      </c>
      <c r="J23" s="3" t="inlineStr">
        <is>
          <t>Cost/high product load; introduce gradually</t>
        </is>
      </c>
      <c r="K23" s="3" t="inlineStr">
        <is>
          <t>If multiple aging markers are present, recommend Standard Aging System</t>
        </is>
      </c>
      <c r="L23" s="3" t="inlineStr">
        <is>
          <t>System</t>
        </is>
      </c>
      <c r="M23" s="3" t="inlineStr">
        <is>
          <t>High</t>
        </is>
      </c>
      <c r="N23" s="3" t="inlineStr">
        <is>
          <t>Official collection page</t>
        </is>
      </c>
      <c r="O23" s="4" t="inlineStr">
        <is>
          <t>https://www.younggoose.com/collections/all</t>
        </is>
      </c>
      <c r="P23" s="3" t="inlineStr"/>
      <c r="Q23" s="32" t="n">
        <v>757.5</v>
      </c>
      <c r="R23" s="33" t="inlineStr">
        <is>
          <t>https://www.younggoose.com</t>
        </is>
      </c>
      <c r="S23" s="34" t="inlineStr">
        <is>
          <t>2026-09-04</t>
        </is>
      </c>
      <c r="T23" s="41" t="inlineStr">
        <is>
          <t>Unknown</t>
        </is>
      </c>
      <c r="U23" s="42" t="inlineStr">
        <is>
          <t>Not applicable - bundle</t>
        </is>
      </c>
      <c r="V23" s="44" t="inlineStr">
        <is>
          <t>BUNDLE</t>
        </is>
      </c>
      <c r="W23" s="11" t="n"/>
      <c r="X23" s="11" t="n"/>
      <c r="Y23" s="13" t="inlineStr">
        <is>
          <t>Not reviewed</t>
        </is>
      </c>
      <c r="Z23" s="11" t="n"/>
      <c r="AA23" s="11" t="n"/>
      <c r="AB23" s="11" t="n"/>
      <c r="AC23" s="14" t="inlineStr">
        <is>
          <t>research_only</t>
        </is>
      </c>
      <c r="AD23" s="38" t="inlineStr">
        <is>
          <t>Bundle</t>
        </is>
      </c>
      <c r="AE23" s="14" t="n">
        <v>4</v>
      </c>
    </row>
    <row r="24" ht="58" customHeight="1">
      <c r="A24" s="2" t="n">
        <v>1</v>
      </c>
      <c r="B24" s="3" t="inlineStr">
        <is>
          <t>Young Goose</t>
        </is>
      </c>
      <c r="C24" s="3" t="inlineStr">
        <is>
          <t>ADVANCED BIOHACK AGING SYSTEM</t>
        </is>
      </c>
      <c r="D24" s="3" t="inlineStr">
        <is>
          <t>Bundle/System</t>
        </is>
      </c>
      <c r="E24" s="3" t="inlineStr">
        <is>
          <t>Advanced Aging System</t>
        </is>
      </c>
      <c r="F24" s="3" t="inlineStr">
        <is>
          <t>Advanced aging protocol system</t>
        </is>
      </c>
      <c r="G24" s="3" t="inlineStr">
        <is>
          <t>Advanced aging, collagen loss, multiple skin concerns</t>
        </is>
      </c>
      <c r="H24" s="3" t="inlineStr">
        <is>
          <t>Mature, resilient</t>
        </is>
      </c>
      <c r="I24" s="3" t="inlineStr">
        <is>
          <t>System routine</t>
        </is>
      </c>
      <c r="J24" s="3" t="inlineStr">
        <is>
          <t>Introduce gradually; not for highly reactive skin without guidance</t>
        </is>
      </c>
      <c r="K24" s="3" t="inlineStr">
        <is>
          <t>If high budget + multiple aging markers + low sensitivity, recommend Advanced Biohack Aging System</t>
        </is>
      </c>
      <c r="L24" s="3" t="inlineStr">
        <is>
          <t>System</t>
        </is>
      </c>
      <c r="M24" s="3" t="inlineStr">
        <is>
          <t>High</t>
        </is>
      </c>
      <c r="N24" s="3" t="inlineStr">
        <is>
          <t>Official collection page</t>
        </is>
      </c>
      <c r="O24" s="4" t="inlineStr">
        <is>
          <t>https://www.younggoose.com/collections/all</t>
        </is>
      </c>
      <c r="P24" s="3" t="inlineStr"/>
      <c r="Q24" s="32" t="n">
        <v>1335</v>
      </c>
      <c r="R24" s="33" t="inlineStr">
        <is>
          <t>https://www.younggoose.com</t>
        </is>
      </c>
      <c r="S24" s="34" t="inlineStr">
        <is>
          <t>2026-09-04</t>
        </is>
      </c>
      <c r="T24" s="41" t="inlineStr">
        <is>
          <t>Unknown</t>
        </is>
      </c>
      <c r="U24" s="42" t="inlineStr">
        <is>
          <t>Not applicable - bundle</t>
        </is>
      </c>
      <c r="V24" s="44" t="inlineStr">
        <is>
          <t>BUNDLE</t>
        </is>
      </c>
      <c r="W24" s="11" t="n"/>
      <c r="X24" s="11" t="n"/>
      <c r="Y24" s="13" t="inlineStr">
        <is>
          <t>Not reviewed</t>
        </is>
      </c>
      <c r="Z24" s="11" t="n"/>
      <c r="AA24" s="11" t="n"/>
      <c r="AB24" s="11" t="n"/>
      <c r="AC24" s="14" t="inlineStr">
        <is>
          <t>research_only</t>
        </is>
      </c>
      <c r="AD24" s="38" t="inlineStr">
        <is>
          <t>Bundle</t>
        </is>
      </c>
      <c r="AE24" s="14" t="n">
        <v>4</v>
      </c>
    </row>
    <row r="25" ht="58" customHeight="1">
      <c r="A25" s="2" t="n">
        <v>1</v>
      </c>
      <c r="B25" s="3" t="inlineStr">
        <is>
          <t>Young Goose</t>
        </is>
      </c>
      <c r="C25" s="3" t="inlineStr">
        <is>
          <t>MINIMAL BIOHACK HYDRATION SYSTEM</t>
        </is>
      </c>
      <c r="D25" s="3" t="inlineStr">
        <is>
          <t>Bundle/System</t>
        </is>
      </c>
      <c r="E25" s="3" t="inlineStr">
        <is>
          <t>Hydration System</t>
        </is>
      </c>
      <c r="F25" s="3" t="inlineStr">
        <is>
          <t>Minimal hydration protocol system</t>
        </is>
      </c>
      <c r="G25" s="3" t="inlineStr">
        <is>
          <t>Mild dehydration, barrier stress</t>
        </is>
      </c>
      <c r="H25" s="3" t="inlineStr">
        <is>
          <t>Dry, normal, combination</t>
        </is>
      </c>
      <c r="I25" s="3" t="inlineStr">
        <is>
          <t>System routine</t>
        </is>
      </c>
      <c r="J25" s="3" t="inlineStr">
        <is>
          <t>Avoid over-layering if acne-prone</t>
        </is>
      </c>
      <c r="K25" s="3" t="inlineStr">
        <is>
          <t>If hydration score is low and routine should stay simple, recommend Minimal Hydration System</t>
        </is>
      </c>
      <c r="L25" s="3" t="inlineStr">
        <is>
          <t>System</t>
        </is>
      </c>
      <c r="M25" s="3" t="inlineStr">
        <is>
          <t>High</t>
        </is>
      </c>
      <c r="N25" s="3" t="inlineStr">
        <is>
          <t>Official collection page</t>
        </is>
      </c>
      <c r="O25" s="4" t="inlineStr">
        <is>
          <t>https://www.younggoose.com/collections/all</t>
        </is>
      </c>
      <c r="P25" s="3" t="inlineStr"/>
      <c r="Q25" s="32" t="n">
        <v>340.1</v>
      </c>
      <c r="R25" s="33" t="inlineStr">
        <is>
          <t>https://www.younggoose.com</t>
        </is>
      </c>
      <c r="S25" s="34" t="inlineStr">
        <is>
          <t>2026-09-04</t>
        </is>
      </c>
      <c r="T25" s="41" t="inlineStr">
        <is>
          <t>Unknown</t>
        </is>
      </c>
      <c r="U25" s="42" t="inlineStr">
        <is>
          <t>Not applicable - bundle</t>
        </is>
      </c>
      <c r="V25" s="44" t="inlineStr">
        <is>
          <t>BUNDLE</t>
        </is>
      </c>
      <c r="W25" s="11" t="n"/>
      <c r="X25" s="11" t="n"/>
      <c r="Y25" s="13" t="inlineStr">
        <is>
          <t>Not reviewed</t>
        </is>
      </c>
      <c r="Z25" s="11" t="n"/>
      <c r="AA25" s="11" t="n"/>
      <c r="AB25" s="11" t="n"/>
      <c r="AC25" s="14" t="inlineStr">
        <is>
          <t>research_only</t>
        </is>
      </c>
      <c r="AD25" s="38" t="inlineStr">
        <is>
          <t>Bundle</t>
        </is>
      </c>
      <c r="AE25" s="14" t="n">
        <v>4</v>
      </c>
    </row>
    <row r="26" ht="58" customHeight="1">
      <c r="A26" s="2" t="n">
        <v>1</v>
      </c>
      <c r="B26" s="3" t="inlineStr">
        <is>
          <t>Young Goose</t>
        </is>
      </c>
      <c r="C26" s="3" t="inlineStr">
        <is>
          <t>STANDARD BIOHACK HYDRATION SYSTEM</t>
        </is>
      </c>
      <c r="D26" s="3" t="inlineStr">
        <is>
          <t>Bundle/System</t>
        </is>
      </c>
      <c r="E26" s="3" t="inlineStr">
        <is>
          <t>Hydration System</t>
        </is>
      </c>
      <c r="F26" s="3" t="inlineStr">
        <is>
          <t>Standard hydration protocol system</t>
        </is>
      </c>
      <c r="G26" s="3" t="inlineStr">
        <is>
          <t>Moderate dehydration, dullness, barrier stress</t>
        </is>
      </c>
      <c r="H26" s="3" t="inlineStr">
        <is>
          <t>Dry, normal, combination</t>
        </is>
      </c>
      <c r="I26" s="3" t="inlineStr">
        <is>
          <t>System routine</t>
        </is>
      </c>
      <c r="J26" s="3" t="inlineStr">
        <is>
          <t>Introduce gradually if sensitive</t>
        </is>
      </c>
      <c r="K26" s="3" t="inlineStr">
        <is>
          <t>If hydration + barrier support are top priorities, recommend Standard Hydration System</t>
        </is>
      </c>
      <c r="L26" s="3" t="inlineStr">
        <is>
          <t>System</t>
        </is>
      </c>
      <c r="M26" s="3" t="inlineStr">
        <is>
          <t>High</t>
        </is>
      </c>
      <c r="N26" s="3" t="inlineStr">
        <is>
          <t>Official collection page</t>
        </is>
      </c>
      <c r="O26" s="4" t="inlineStr">
        <is>
          <t>https://www.younggoose.com/collections/all</t>
        </is>
      </c>
      <c r="P26" s="3" t="inlineStr"/>
      <c r="Q26" s="32" t="n">
        <v>563.33</v>
      </c>
      <c r="R26" s="33" t="inlineStr">
        <is>
          <t>https://www.younggoose.com</t>
        </is>
      </c>
      <c r="S26" s="34" t="inlineStr">
        <is>
          <t>2026-09-04</t>
        </is>
      </c>
      <c r="T26" s="41" t="inlineStr">
        <is>
          <t>Unknown</t>
        </is>
      </c>
      <c r="U26" s="42" t="inlineStr">
        <is>
          <t>Not applicable - bundle</t>
        </is>
      </c>
      <c r="V26" s="44" t="inlineStr">
        <is>
          <t>BUNDLE</t>
        </is>
      </c>
      <c r="W26" s="11" t="n"/>
      <c r="X26" s="11" t="n"/>
      <c r="Y26" s="13" t="inlineStr">
        <is>
          <t>Not reviewed</t>
        </is>
      </c>
      <c r="Z26" s="11" t="n"/>
      <c r="AA26" s="11" t="n"/>
      <c r="AB26" s="11" t="n"/>
      <c r="AC26" s="14" t="inlineStr">
        <is>
          <t>research_only</t>
        </is>
      </c>
      <c r="AD26" s="38" t="inlineStr">
        <is>
          <t>Bundle</t>
        </is>
      </c>
      <c r="AE26" s="14" t="n">
        <v>4</v>
      </c>
    </row>
    <row r="27" ht="58" customHeight="1">
      <c r="A27" s="2" t="n">
        <v>1</v>
      </c>
      <c r="B27" s="3" t="inlineStr">
        <is>
          <t>Vitali</t>
        </is>
      </c>
      <c r="C27" s="3" t="inlineStr">
        <is>
          <t>2% GHK-Cu Skin Cell Restorative Serum</t>
        </is>
      </c>
      <c r="D27" s="3" t="inlineStr">
        <is>
          <t>Copper Peptide Serum</t>
        </is>
      </c>
      <c r="E27" s="3" t="inlineStr">
        <is>
          <t>Serum</t>
        </is>
      </c>
      <c r="F27" s="3" t="inlineStr">
        <is>
          <t>2% GHK-Cu copper peptide</t>
        </is>
      </c>
      <c r="G27" s="3" t="inlineStr">
        <is>
          <t>Fine lines, loss of firmness, redness, texture, barrier repair</t>
        </is>
      </c>
      <c r="H27" s="3" t="inlineStr">
        <is>
          <t>Aging, dry, sensitive, normal</t>
        </is>
      </c>
      <c r="I27" s="3" t="inlineStr">
        <is>
          <t>PM or as directed</t>
        </is>
      </c>
      <c r="J27" s="3" t="inlineStr">
        <is>
          <t>Patch test; avoid excessive layering with strong acids/retinoids</t>
        </is>
      </c>
      <c r="K27" s="3" t="inlineStr">
        <is>
          <t>If collagen support or redness/barrier repair is flagged, recommend 2% GHK-Cu serum</t>
        </is>
      </c>
      <c r="L27" s="3" t="inlineStr">
        <is>
          <t>Treatment serum</t>
        </is>
      </c>
      <c r="M27" s="3" t="inlineStr">
        <is>
          <t>High</t>
        </is>
      </c>
      <c r="N27" s="3" t="inlineStr">
        <is>
          <t>Official collection page</t>
        </is>
      </c>
      <c r="O27" s="4" t="inlineStr">
        <is>
          <t>https://www.vitaliskincare.com/collections/all</t>
        </is>
      </c>
      <c r="P27" s="3" t="inlineStr"/>
      <c r="Q27" s="32" t="n">
        <v>119</v>
      </c>
      <c r="R27" s="33" t="inlineStr">
        <is>
          <t>https://www.vitaliskincare.com/pages/total-ingredients-list</t>
        </is>
      </c>
      <c r="S27" s="34" t="inlineStr">
        <is>
          <t>2026-09-04</t>
        </is>
      </c>
      <c r="T27" s="40" t="inlineStr">
        <is>
          <t>Yes</t>
        </is>
      </c>
      <c r="U27" s="34" t="inlineStr">
        <is>
          <t>Full INCI checked</t>
        </is>
      </c>
      <c r="V27" s="36" t="inlineStr">
        <is>
          <t>Aqua, GHK-Cu, Palmitoyl Tripeptide-1, Macrocystis Pyrifera (Brown Algae Extract), Xanthan Gum, Sodium PCA, Allantoin, Silk Amino Acids, Hyaluronic Acid, Phenoxyethanol, Caprylyl Glycol, Sorbic Acid</t>
        </is>
      </c>
      <c r="W27" s="33" t="inlineStr">
        <is>
          <t>https://www.vitaliskincare.com/pages/total-ingredients-list</t>
        </is>
      </c>
      <c r="X27" s="34" t="inlineStr">
        <is>
          <t>2026-09-04</t>
        </is>
      </c>
      <c r="Y27" s="13" t="inlineStr">
        <is>
          <t>Not reviewed</t>
        </is>
      </c>
      <c r="Z27" s="11" t="n"/>
      <c r="AA27" s="11" t="n"/>
      <c r="AB27" s="11" t="n"/>
      <c r="AC27" s="14" t="inlineStr">
        <is>
          <t>research_only</t>
        </is>
      </c>
      <c r="AD27" s="38" t="inlineStr">
        <is>
          <t>2% confirmed on page. INCI from site-wide /pages/total-ingredients-list; the 2% and 3% share ONE undifferentiated list. Page states 'free from fragrances'</t>
        </is>
      </c>
      <c r="AE27" s="14" t="n">
        <v>7</v>
      </c>
    </row>
    <row r="28" ht="58" customHeight="1">
      <c r="A28" s="2" t="n">
        <v>1</v>
      </c>
      <c r="B28" s="3" t="inlineStr">
        <is>
          <t>Vitali</t>
        </is>
      </c>
      <c r="C28" s="3" t="inlineStr">
        <is>
          <t>3% GHK-Cu Skin Cell Restorative Serum (50% More GHK-Cu)</t>
        </is>
      </c>
      <c r="D28" s="3" t="inlineStr">
        <is>
          <t>High-Strength Copper Peptide Serum</t>
        </is>
      </c>
      <c r="E28" s="3" t="inlineStr">
        <is>
          <t>Serum</t>
        </is>
      </c>
      <c r="F28" s="3" t="inlineStr">
        <is>
          <t>3% GHK-Cu copper peptide</t>
        </is>
      </c>
      <c r="G28" s="3" t="inlineStr">
        <is>
          <t>Advanced aging, loss of firmness, post-treatment support</t>
        </is>
      </c>
      <c r="H28" s="3" t="inlineStr">
        <is>
          <t>Mature, resilient, experienced users</t>
        </is>
      </c>
      <c r="I28" s="3" t="inlineStr">
        <is>
          <t>PM or as directed</t>
        </is>
      </c>
      <c r="J28" s="3" t="inlineStr">
        <is>
          <t>Use cautiously if reactive; start slowly</t>
        </is>
      </c>
      <c r="K28" s="3" t="inlineStr">
        <is>
          <t>If advanced collagen/firmness support is needed and sensitivity is low, recommend 3% GHK-Cu serum</t>
        </is>
      </c>
      <c r="L28" s="3" t="inlineStr">
        <is>
          <t>Treatment serum</t>
        </is>
      </c>
      <c r="M28" s="3" t="inlineStr">
        <is>
          <t>High</t>
        </is>
      </c>
      <c r="N28" s="3" t="inlineStr">
        <is>
          <t>Official collection page</t>
        </is>
      </c>
      <c r="O28" s="4" t="inlineStr">
        <is>
          <t>https://www.vitaliskincare.com/collections/all</t>
        </is>
      </c>
      <c r="P28" s="3" t="inlineStr"/>
      <c r="Q28" s="32" t="n">
        <v>189</v>
      </c>
      <c r="R28" s="33" t="inlineStr">
        <is>
          <t>https://www.vitaliskincare.com/pages/total-ingredients-list</t>
        </is>
      </c>
      <c r="S28" s="34" t="inlineStr">
        <is>
          <t>2026-09-04</t>
        </is>
      </c>
      <c r="T28" s="40" t="inlineStr">
        <is>
          <t>Yes</t>
        </is>
      </c>
      <c r="U28" s="34" t="inlineStr">
        <is>
          <t>Full INCI checked</t>
        </is>
      </c>
      <c r="V28" s="36" t="inlineStr">
        <is>
          <t>Aqua, GHK-Cu, Palmitoyl Tripeptide-1, Macrocystis Pyrifera (Brown Algae Extract), Xanthan Gum, Sodium PCA, Allantoin, Silk Amino Acids, Hyaluronic Acid, Phenoxyethanol, Caprylyl Glycol, Sorbic Acid</t>
        </is>
      </c>
      <c r="W28" s="33" t="inlineStr">
        <is>
          <t>https://www.vitaliskincare.com/pages/total-ingredients-list</t>
        </is>
      </c>
      <c r="X28" s="34" t="inlineStr">
        <is>
          <t>2026-09-04</t>
        </is>
      </c>
      <c r="Y28" s="13" t="inlineStr">
        <is>
          <t>Not reviewed</t>
        </is>
      </c>
      <c r="Z28" s="11" t="n"/>
      <c r="AA28" s="11" t="n"/>
      <c r="AB28" s="11" t="n"/>
      <c r="AC28" s="14" t="inlineStr">
        <is>
          <t>research_only</t>
        </is>
      </c>
      <c r="AD28" s="38" t="inlineStr">
        <is>
          <t>3% confirmed on page. SHARED INCI with the 2% — no 3%-specific list published</t>
        </is>
      </c>
      <c r="AE28" s="14" t="n">
        <v>7</v>
      </c>
    </row>
    <row r="29" ht="58" customHeight="1">
      <c r="A29" s="2" t="n">
        <v>1</v>
      </c>
      <c r="B29" s="3" t="inlineStr">
        <is>
          <t>Vitali</t>
        </is>
      </c>
      <c r="C29" s="3" t="inlineStr">
        <is>
          <t>Skin Awakening Moisturizer</t>
        </is>
      </c>
      <c r="D29" s="3" t="inlineStr">
        <is>
          <t>Copper Peptide Moisturizer</t>
        </is>
      </c>
      <c r="E29" s="3" t="inlineStr">
        <is>
          <t>Moisturizer</t>
        </is>
      </c>
      <c r="F29" s="3" t="inlineStr">
        <is>
          <t>GHK-Cu copper peptides; skin awakening moisturizer</t>
        </is>
      </c>
      <c r="G29" s="3" t="inlineStr">
        <is>
          <t>Barrier stress, dryness, redness, hydration support</t>
        </is>
      </c>
      <c r="H29" s="3" t="inlineStr">
        <is>
          <t>Dry, normal, sensitive</t>
        </is>
      </c>
      <c r="I29" s="3" t="inlineStr">
        <is>
          <t>AM/PM</t>
        </is>
      </c>
      <c r="J29" s="3" t="inlineStr">
        <is>
          <t>Patch test</t>
        </is>
      </c>
      <c r="K29" s="3" t="inlineStr">
        <is>
          <t>If barrier strength/hydration is low, pair with Vitali serum</t>
        </is>
      </c>
      <c r="L29" s="3" t="inlineStr">
        <is>
          <t>Moisturizer</t>
        </is>
      </c>
      <c r="M29" s="3" t="inlineStr">
        <is>
          <t>High</t>
        </is>
      </c>
      <c r="N29" s="3" t="inlineStr">
        <is>
          <t>Official copper collection</t>
        </is>
      </c>
      <c r="O29" s="4" t="inlineStr">
        <is>
          <t>https://www.vitaliskincare.com/collections/copper-peptide-collection</t>
        </is>
      </c>
      <c r="P29" s="3" t="inlineStr"/>
      <c r="Q29" s="32" t="n">
        <v>99</v>
      </c>
      <c r="R29" s="33" t="inlineStr">
        <is>
          <t>https://www.vitaliskincare.com/pages/total-ingredients-list</t>
        </is>
      </c>
      <c r="S29" s="34" t="inlineStr">
        <is>
          <t>2026-09-04</t>
        </is>
      </c>
      <c r="T29" s="35" t="inlineStr">
        <is>
          <t>No</t>
        </is>
      </c>
      <c r="U29" s="34" t="inlineStr">
        <is>
          <t>Full INCI checked</t>
        </is>
      </c>
      <c r="V29" s="36" t="inlineStr">
        <is>
          <t>Aqua, Hyaluronic Acid, Xanthan Gum, Polyglyceryl-2 Dipolyhydroxystearate, Persea Gratissima (Avocado) Oil, Limnanthes Alba (Meadowfoam Seed) Oil, Cetyl Palmitate, Hippophae Rhamnoides (Sea Buckthorn) Oil, GHK-Cu, Glycerine, Stearic Acid, Hypericum Perforatum, Simmondsia Chinensis (Jojoba Seed) Oil, Panthenol, Calendula Officinalis Oil, D-Alpha-Tocopherol, Herbal Extract, Seaweed Extract, Butyrospermum Parkii (Shea) Butter, Coenzyme Q10, Alpha-Lipoic Acid, Superoxide Dismutase, Resveratrol, Coffea Arabica Oil, Squalane, Niacinamide, Phenoxyethanol, Ethylhexylglycerin</t>
        </is>
      </c>
      <c r="W29" s="33" t="inlineStr">
        <is>
          <t>https://www.vitaliskincare.com/pages/total-ingredients-list</t>
        </is>
      </c>
      <c r="X29" s="34" t="inlineStr">
        <is>
          <t>2026-09-04</t>
        </is>
      </c>
      <c r="Y29" s="13" t="inlineStr">
        <is>
          <t>Not reviewed</t>
        </is>
      </c>
      <c r="Z29" s="11" t="n"/>
      <c r="AA29" s="11" t="n"/>
      <c r="AB29" s="37" t="inlineStr">
        <is>
          <t>Fragrant botanicals/EO: Coffee Arabica Oil; Calendula Oil; St John's Wort; Sea Buckthorn Oil</t>
        </is>
      </c>
      <c r="AC29" s="14" t="inlineStr">
        <is>
          <t>research_only</t>
        </is>
      </c>
      <c r="AD29" s="38" t="inlineStr">
        <is>
          <t>'Herbal Extract' and 'Seaweed Extract' undisclosed — allergen status of those cannot be determined</t>
        </is>
      </c>
      <c r="AE29" s="14" t="n">
        <v>7</v>
      </c>
    </row>
    <row r="30" ht="58" customHeight="1">
      <c r="A30" s="2" t="n">
        <v>1</v>
      </c>
      <c r="B30" s="3" t="inlineStr">
        <is>
          <t>Vitali</t>
        </is>
      </c>
      <c r="C30" s="3" t="inlineStr">
        <is>
          <t>Advanced Eye &amp; Lash Formula</t>
        </is>
      </c>
      <c r="D30" s="3" t="inlineStr">
        <is>
          <t>Eye/Lash Formula</t>
        </is>
      </c>
      <c r="E30" s="3" t="inlineStr">
        <is>
          <t>Eye Care</t>
        </is>
      </c>
      <c r="F30" s="3" t="inlineStr">
        <is>
          <t>Vitali eye and lash formula; copper peptide collection product</t>
        </is>
      </c>
      <c r="G30" s="3" t="inlineStr">
        <is>
          <t>Eye fine lines, lash support, eye-area aging</t>
        </is>
      </c>
      <c r="H30" s="3" t="inlineStr">
        <is>
          <t>All</t>
        </is>
      </c>
      <c r="I30" s="3" t="inlineStr">
        <is>
          <t>PM or as directed</t>
        </is>
      </c>
      <c r="J30" s="3" t="inlineStr">
        <is>
          <t>Avoid getting into eye</t>
        </is>
      </c>
      <c r="K30" s="3" t="inlineStr">
        <is>
          <t>If under-eye/lash support is requested, recommend Advanced Eye &amp; Lash Formula</t>
        </is>
      </c>
      <c r="L30" s="3" t="inlineStr">
        <is>
          <t>Eye/lash treatment</t>
        </is>
      </c>
      <c r="M30" s="3" t="inlineStr">
        <is>
          <t>High</t>
        </is>
      </c>
      <c r="N30" s="3" t="inlineStr">
        <is>
          <t>Official collection page</t>
        </is>
      </c>
      <c r="O30" s="4" t="inlineStr">
        <is>
          <t>https://www.vitaliskincare.com/collections/all</t>
        </is>
      </c>
      <c r="P30" s="3" t="inlineStr"/>
      <c r="Q30" s="32" t="n">
        <v>89</v>
      </c>
      <c r="R30" s="33" t="inlineStr">
        <is>
          <t>https://www.vitaliskincare.com/pages/total-ingredients-list</t>
        </is>
      </c>
      <c r="S30" s="34" t="inlineStr">
        <is>
          <t>2026-09-04</t>
        </is>
      </c>
      <c r="T30" s="40" t="inlineStr">
        <is>
          <t>Yes</t>
        </is>
      </c>
      <c r="U30" s="34" t="inlineStr">
        <is>
          <t>Full INCI checked</t>
        </is>
      </c>
      <c r="V30" s="36" t="inlineStr">
        <is>
          <t>Aqua, GHK-Cu, Glyceryl Stearate, Polyglyceryl-6 Palmitate/Succinate, Cetearyl Alcohol, Isononyl Isononanoate, Ethylhexyl Olivate, Hesperidin Methyl Chalcone, Steareth-20, Dipeptide-2, Palmitoyl Tetrapeptide-7, Butyrospermum Parkii (Shea) Butter, Prunus Amygdalus Dulcis (Sweet Almond) Oil, Palmitoyl Tetrapeptide-1, Sodium Hyaluronate, Caprylhydroxamic Acid, Caprylyl Glycol, Glycerin, Xanthan Gum, Sodium Stearoyl Glutamate, Disodium EDTA</t>
        </is>
      </c>
      <c r="W30" s="33" t="inlineStr">
        <is>
          <t>https://www.vitaliskincare.com/pages/total-ingredients-list</t>
        </is>
      </c>
      <c r="X30" s="34" t="inlineStr">
        <is>
          <t>2026-09-04</t>
        </is>
      </c>
      <c r="Y30" s="13" t="inlineStr">
        <is>
          <t>Not reviewed</t>
        </is>
      </c>
      <c r="Z30" s="11" t="n"/>
      <c r="AA30" s="11" t="n"/>
      <c r="AB30" s="11" t="n"/>
      <c r="AC30" s="14" t="inlineStr">
        <is>
          <t>research_only</t>
        </is>
      </c>
      <c r="AD30" s="38" t="inlineStr">
        <is>
          <t>A separate mini travel size exists at $29</t>
        </is>
      </c>
      <c r="AE30" s="14" t="n">
        <v>7</v>
      </c>
    </row>
    <row r="31" ht="58" customHeight="1">
      <c r="A31" s="2" t="n">
        <v>1</v>
      </c>
      <c r="B31" s="3" t="inlineStr">
        <is>
          <t>Vitali</t>
        </is>
      </c>
      <c r="C31" s="3" t="inlineStr">
        <is>
          <t>Restorative Body Cream</t>
        </is>
      </c>
      <c r="D31" s="3" t="inlineStr">
        <is>
          <t>Copper Peptide Body Cream</t>
        </is>
      </c>
      <c r="E31" s="3" t="inlineStr">
        <is>
          <t>Body Cream</t>
        </is>
      </c>
      <c r="F31" s="3" t="inlineStr">
        <is>
          <t>Restorative body cream; copper peptide collection product</t>
        </is>
      </c>
      <c r="G31" s="3" t="inlineStr">
        <is>
          <t>Body crepiness, dryness, body aging</t>
        </is>
      </c>
      <c r="H31" s="3" t="inlineStr">
        <is>
          <t>Dry, mature, normal</t>
        </is>
      </c>
      <c r="I31" s="3" t="inlineStr">
        <is>
          <t>Daily body care</t>
        </is>
      </c>
      <c r="J31" s="3" t="inlineStr">
        <is>
          <t>Avoid broken skin</t>
        </is>
      </c>
      <c r="K31" s="3" t="inlineStr">
        <is>
          <t>If body skin aging/dryness is a concern, recommend Restorative Body Cream</t>
        </is>
      </c>
      <c r="L31" s="3" t="inlineStr">
        <is>
          <t>Body moisturizer</t>
        </is>
      </c>
      <c r="M31" s="3" t="inlineStr">
        <is>
          <t>High</t>
        </is>
      </c>
      <c r="N31" s="3" t="inlineStr">
        <is>
          <t>Official collection page</t>
        </is>
      </c>
      <c r="O31" s="4" t="inlineStr">
        <is>
          <t>https://www.vitaliskincare.com/collections/all</t>
        </is>
      </c>
      <c r="P31" s="3" t="inlineStr"/>
      <c r="Q31" s="32" t="n">
        <v>94.5</v>
      </c>
      <c r="R31" s="33" t="inlineStr">
        <is>
          <t>https://www.vitaliskincare.com/pages/total-ingredients-list</t>
        </is>
      </c>
      <c r="S31" s="34" t="inlineStr">
        <is>
          <t>2026-09-04</t>
        </is>
      </c>
      <c r="T31" s="35" t="inlineStr">
        <is>
          <t>No</t>
        </is>
      </c>
      <c r="U31" s="34" t="inlineStr">
        <is>
          <t>Full INCI checked</t>
        </is>
      </c>
      <c r="V31" s="36" t="inlineStr">
        <is>
          <t>Aqua, Organic blend of Calendula Officinalis, Arctium Lappa (Burdock Root), Salvia Officinalis (Sage), Urtica Dioica (Nettle), Rosmarinus Officinalis (Rosemary), Taraxacum Officinale (Dandelion), Equisetum Arvense (Horsetail), Angelica Archangelica, Hydrastis Canadensis (Goldenseal), Aloe Barbadensis, GHK-Cu, Polyglyceryl-2 Dipolyhydroxystearate, Seaweed Extract, Xanthan Gum, Butyrospermum Parkii (Shea Butter), Cocos Nucifera Oil, Tocopherol, Theobroma Cacao (Cocoa Seed Butter), Hypericum Perforatum (St John's Wort Oil), Vitamin E, Vegetable Glycerin, Panthenol, Hippophae Rhamnoides (Seabuckthorn Oil), Phenoxyethanol, Ethylhexylglycerin</t>
        </is>
      </c>
      <c r="W31" s="33" t="inlineStr">
        <is>
          <t>https://www.vitaliskincare.com/pages/total-ingredients-list</t>
        </is>
      </c>
      <c r="X31" s="34" t="inlineStr">
        <is>
          <t>2026-09-04</t>
        </is>
      </c>
      <c r="Y31" s="13" t="inlineStr">
        <is>
          <t>Not reviewed</t>
        </is>
      </c>
      <c r="Z31" s="11" t="n"/>
      <c r="AA31" s="11" t="n"/>
      <c r="AB31" s="37" t="inlineStr">
        <is>
          <t>Fragrant botanicals/EO: Rosemary; Sage; Angelica; Calendula; St John's Wort; Coconut; Cocoa Butter; Seabuckthorn</t>
        </is>
      </c>
      <c r="AC31" s="14" t="inlineStr">
        <is>
          <t>research_only</t>
        </is>
      </c>
      <c r="AD31" s="38" t="inlineStr">
        <is>
          <t>Highest fragrant-botanical load in the Vitali line; herbal blend not broken to constituent level</t>
        </is>
      </c>
      <c r="AE31" s="14" t="n">
        <v>7</v>
      </c>
    </row>
    <row r="32" ht="58" customHeight="1">
      <c r="A32" s="2" t="n">
        <v>1</v>
      </c>
      <c r="B32" s="3" t="inlineStr">
        <is>
          <t>Vitali</t>
        </is>
      </c>
      <c r="C32" s="3" t="inlineStr">
        <is>
          <t>Vita | Zero Age Exosome Complex</t>
        </is>
      </c>
      <c r="D32" s="3" t="inlineStr">
        <is>
          <t>Exosome Complex</t>
        </is>
      </c>
      <c r="E32" s="3" t="inlineStr">
        <is>
          <t>Advanced Regenerative Serum</t>
        </is>
      </c>
      <c r="F32" s="3" t="inlineStr">
        <is>
          <t>Exosome complex</t>
        </is>
      </c>
      <c r="G32" s="3" t="inlineStr">
        <is>
          <t>Advanced regenerative support, aging, texture, post-procedure care</t>
        </is>
      </c>
      <c r="H32" s="3" t="inlineStr">
        <is>
          <t>Mature, resilient, post-treatment</t>
        </is>
      </c>
      <c r="I32" s="3" t="inlineStr">
        <is>
          <t>PM or professional protocol</t>
        </is>
      </c>
      <c r="J32" s="3" t="inlineStr">
        <is>
          <t>Use professional guidance around procedures</t>
        </is>
      </c>
      <c r="K32" s="3" t="inlineStr">
        <is>
          <t>If exosome/regenerative category is needed, recommend Vita Zero Age Exosome Complex</t>
        </is>
      </c>
      <c r="L32" s="3" t="inlineStr">
        <is>
          <t>Advanced serum</t>
        </is>
      </c>
      <c r="M32" s="3" t="inlineStr">
        <is>
          <t>High</t>
        </is>
      </c>
      <c r="N32" s="3" t="inlineStr">
        <is>
          <t>Official collection page</t>
        </is>
      </c>
      <c r="O32" s="4" t="inlineStr">
        <is>
          <t>https://www.vitaliskincare.com/collections/all</t>
        </is>
      </c>
      <c r="P32" s="3" t="inlineStr"/>
      <c r="Q32" s="32" t="n">
        <v>399</v>
      </c>
      <c r="R32" s="33" t="inlineStr">
        <is>
          <t>https://www.vitaliskincare.com/pages/total-ingredients-list</t>
        </is>
      </c>
      <c r="S32" s="34" t="inlineStr">
        <is>
          <t>2026-09-04</t>
        </is>
      </c>
      <c r="T32" s="35" t="inlineStr">
        <is>
          <t>No</t>
        </is>
      </c>
      <c r="U32" s="34" t="inlineStr">
        <is>
          <t>Full INCI checked</t>
        </is>
      </c>
      <c r="V32" s="36" t="inlineStr">
        <is>
          <t>Water, Human Umbilical Mesenchymal Stem Cell Conditioned Media Filtrate, Palmitoyl Tripeptide-5, Pentylene Glycol, Polyacrylate Crosspolymer-11, Acetyl sh-Heptapeptide-1, Hydrolyzed Minnow Muscle Cell Lysate, Copper Tripeptide-1, Hydrogenated Lecithin, Ceramide NP, Ceramide AP, Ceramide EOP, Phytosphingosine, Cholesterol, Magnesium Ascorbyl Phosphate, Tetrahexyldecyl Ascorbate, Niacinamide, Sodium Hyaluronate, Glutathione, Pro Vitamin B-5, Glycerin, Butyrospermum Parkii (Shea) Butter, Glycyrrhiza Glabra Root Extract, Aloe Barbadensis Leaf Juice, Propylene Glycol, Urtica Dioica Extract, Faex Extract, Yeast Extract, Leuconostoc/Radish Root Ferment Filtrate, Lactobacillus, Cocos Nucifera Fruit Extract, Camellia Sinensis Leaf Extract, Avena Sativa Kernel Extract, Sodium Lauroyl Lactylate, Carbomer, Xanthan Gum, Arginine, Potassium Sorbate, Phenoxyethanol, Sodium Benzoate, Citric Acid, Phenethyl Alcohol, Ethylhexylglycerin</t>
        </is>
      </c>
      <c r="W32" s="33" t="inlineStr">
        <is>
          <t>https://www.vitaliskincare.com/pages/total-ingredients-list</t>
        </is>
      </c>
      <c r="X32" s="34" t="inlineStr">
        <is>
          <t>2026-09-04</t>
        </is>
      </c>
      <c r="Y32" s="17" t="inlineStr">
        <is>
          <t>PRACTITIONER ONLY (provisional)</t>
        </is>
      </c>
      <c r="Z32" s="11" t="n"/>
      <c r="AA32" s="11" t="n"/>
      <c r="AB32" s="37" t="inlineStr">
        <is>
          <t>Fragrant botanicals/EO: Phenethyl Alcohol (aromatic solvent, not on EU-26 list)</t>
        </is>
      </c>
      <c r="AC32" s="14" t="inlineStr">
        <is>
          <t>research_only</t>
        </is>
      </c>
      <c r="AD32" s="38" t="inlineStr">
        <is>
          <t>Human umbilical stem cell conditioned media — same practitioner/jurisdiction question as Young Goose VAMPIRE EXOSOMES</t>
        </is>
      </c>
      <c r="AE32" s="14" t="n">
        <v>7</v>
      </c>
    </row>
    <row r="33" ht="58" customHeight="1">
      <c r="A33" s="2" t="n">
        <v>1</v>
      </c>
      <c r="B33" s="3" t="inlineStr">
        <is>
          <t>Vitali</t>
        </is>
      </c>
      <c r="C33" s="3" t="inlineStr">
        <is>
          <t>2% Bakuchiol Facial Oil</t>
        </is>
      </c>
      <c r="D33" s="3" t="inlineStr">
        <is>
          <t>Bakuchiol Facial Oil</t>
        </is>
      </c>
      <c r="E33" s="3" t="inlineStr">
        <is>
          <t>Retinol Alternative / Oil</t>
        </is>
      </c>
      <c r="F33" s="3" t="inlineStr">
        <is>
          <t>2% bakuchiol facial oil</t>
        </is>
      </c>
      <c r="G33" s="3" t="inlineStr">
        <is>
          <t>Fine lines, texture, retinol alternative, dryness</t>
        </is>
      </c>
      <c r="H33" s="3" t="inlineStr">
        <is>
          <t>Dry, normal, mature</t>
        </is>
      </c>
      <c r="I33" s="3" t="inlineStr">
        <is>
          <t>PM</t>
        </is>
      </c>
      <c r="J33" s="3" t="inlineStr">
        <is>
          <t>Caution acne-prone/oily skin; patch test</t>
        </is>
      </c>
      <c r="K33" s="3" t="inlineStr">
        <is>
          <t>If retinol alternative is needed with dryness, suggest Bakuchiol Facial Oil</t>
        </is>
      </c>
      <c r="L33" s="3" t="inlineStr">
        <is>
          <t>Night oil</t>
        </is>
      </c>
      <c r="M33" s="3" t="inlineStr">
        <is>
          <t>High</t>
        </is>
      </c>
      <c r="N33" s="3" t="inlineStr">
        <is>
          <t>Official collection page</t>
        </is>
      </c>
      <c r="O33" s="4" t="inlineStr">
        <is>
          <t>https://www.vitaliskincare.com/collections/all</t>
        </is>
      </c>
      <c r="P33" s="3" t="inlineStr"/>
      <c r="Q33" s="32" t="n">
        <v>74.98999999999999</v>
      </c>
      <c r="R33" s="33" t="inlineStr">
        <is>
          <t>https://www.vitaliskincare.com/pages/total-ingredients-list</t>
        </is>
      </c>
      <c r="S33" s="34" t="inlineStr">
        <is>
          <t>2026-09-04</t>
        </is>
      </c>
      <c r="T33" s="40" t="inlineStr">
        <is>
          <t>Yes</t>
        </is>
      </c>
      <c r="U33" s="34" t="inlineStr">
        <is>
          <t>Full INCI checked</t>
        </is>
      </c>
      <c r="V33" s="36" t="inlineStr">
        <is>
          <t>2% Bakuchiol extract, 100% organic squalane oil, Vitamin E</t>
        </is>
      </c>
      <c r="W33" s="33" t="inlineStr">
        <is>
          <t>https://www.vitaliskincare.com/pages/total-ingredients-list</t>
        </is>
      </c>
      <c r="X33" s="34" t="inlineStr">
        <is>
          <t>2026-09-04</t>
        </is>
      </c>
      <c r="Y33" s="17" t="inlineStr">
        <is>
          <t>CAUTION (provisional)</t>
        </is>
      </c>
      <c r="Z33" s="11" t="n"/>
      <c r="AA33" s="11" t="n"/>
      <c r="AB33" s="11" t="n"/>
      <c r="AC33" s="14" t="inlineStr">
        <is>
          <t>research_only</t>
        </is>
      </c>
      <c r="AD33" s="38" t="inlineStr">
        <is>
          <t>Only 3 ingredients, common names not INCI. 2% confirmed in title and ingredient block</t>
        </is>
      </c>
      <c r="AE33" s="14" t="n">
        <v>7</v>
      </c>
    </row>
    <row r="34" ht="58" customHeight="1">
      <c r="A34" s="2" t="n">
        <v>1</v>
      </c>
      <c r="B34" s="3" t="inlineStr">
        <is>
          <t>Vitali</t>
        </is>
      </c>
      <c r="C34" s="3" t="inlineStr">
        <is>
          <t>Advanced Resurfacing 10% Lactic Formula</t>
        </is>
      </c>
      <c r="D34" s="3" t="inlineStr">
        <is>
          <t>Lactic Acid Exfoliant</t>
        </is>
      </c>
      <c r="E34" s="3" t="inlineStr">
        <is>
          <t>Exfoliant</t>
        </is>
      </c>
      <c r="F34" s="3" t="inlineStr">
        <is>
          <t>10% lactic formula</t>
        </is>
      </c>
      <c r="G34" s="3" t="inlineStr">
        <is>
          <t>Texture, dullness, uneven tone, clogged pores</t>
        </is>
      </c>
      <c r="H34" s="3" t="inlineStr">
        <is>
          <t>Normal, oily, combination, resilient</t>
        </is>
      </c>
      <c r="I34" s="3" t="inlineStr">
        <is>
          <t>1–2x/week PM</t>
        </is>
      </c>
      <c r="J34" s="3" t="inlineStr">
        <is>
          <t>Avoid with barrier damage, active irritation, strong retinoids/acids</t>
        </is>
      </c>
      <c r="K34" s="3" t="inlineStr">
        <is>
          <t>If texture and dullness are high but sensitivity low, recommend lactic formula</t>
        </is>
      </c>
      <c r="L34" s="3" t="inlineStr">
        <is>
          <t>Exfoliation</t>
        </is>
      </c>
      <c r="M34" s="3" t="inlineStr">
        <is>
          <t>High</t>
        </is>
      </c>
      <c r="N34" s="3" t="inlineStr">
        <is>
          <t>Official collection page</t>
        </is>
      </c>
      <c r="O34" s="4" t="inlineStr">
        <is>
          <t>https://www.vitaliskincare.com/collections/all</t>
        </is>
      </c>
      <c r="P34" s="3" t="inlineStr"/>
      <c r="Q34" s="32" t="n">
        <v>49</v>
      </c>
      <c r="R34" s="33" t="inlineStr">
        <is>
          <t>https://www.vitaliskincare.com/pages/total-ingredients-list</t>
        </is>
      </c>
      <c r="S34" s="34" t="inlineStr">
        <is>
          <t>2026-09-04</t>
        </is>
      </c>
      <c r="T34" s="40" t="inlineStr">
        <is>
          <t>Yes</t>
        </is>
      </c>
      <c r="U34" s="34" t="inlineStr">
        <is>
          <t>Full INCI checked</t>
        </is>
      </c>
      <c r="V34" s="36" t="inlineStr">
        <is>
          <t>Water, Lactic Acid, Caprylic/Capric Triglyceride, Glycerin, Squalane, Prunus Amygdalus Dulcis (Sweet Almond) Oil, Simmondsia Chinensis (Jojoba) Seed Oil, Aloe Barbadensis Extract, Glyceryl Stearate, Stearic Acid, Polyacrylamide, Cetearyl Alcohol, C13-14 Isoparaffin, Cetyl Alcohol, Tocopherol, Laureth-7, Steareth-21, Xanthan Gum, Potassium Sorbate, Sodium Benzoate, Sodium Hydroxide, Citric Acid, Phenoxyethanol, Ethylhexylglycerin</t>
        </is>
      </c>
      <c r="W34" s="33" t="inlineStr">
        <is>
          <t>https://www.vitaliskincare.com/pages/total-ingredients-list</t>
        </is>
      </c>
      <c r="X34" s="34" t="inlineStr">
        <is>
          <t>2026-09-04</t>
        </is>
      </c>
      <c r="Y34" s="17" t="inlineStr">
        <is>
          <t>CAUTION (provisional)</t>
        </is>
      </c>
      <c r="Z34" s="11" t="n"/>
      <c r="AA34" s="11" t="n"/>
      <c r="AB34" s="11" t="n"/>
      <c r="AC34" s="14" t="inlineStr">
        <is>
          <t>research_only</t>
        </is>
      </c>
      <c r="AD34" s="38" t="inlineStr">
        <is>
          <t>10% appears in title; not restated in the INCI</t>
        </is>
      </c>
      <c r="AE34" s="14" t="n">
        <v>7</v>
      </c>
    </row>
    <row r="35" ht="58" customHeight="1">
      <c r="A35" s="2" t="n">
        <v>1</v>
      </c>
      <c r="B35" s="3" t="inlineStr">
        <is>
          <t>Vitali</t>
        </is>
      </c>
      <c r="C35" s="3" t="inlineStr">
        <is>
          <t>Gentle Exfoliating Cleanser</t>
        </is>
      </c>
      <c r="D35" s="3" t="inlineStr">
        <is>
          <t>Exfoliating Cleanser</t>
        </is>
      </c>
      <c r="E35" s="3" t="inlineStr">
        <is>
          <t>Cleanser</t>
        </is>
      </c>
      <c r="F35" s="3" t="inlineStr">
        <is>
          <t>Gentle exfoliating cleanser</t>
        </is>
      </c>
      <c r="G35" s="3" t="inlineStr">
        <is>
          <t>Mild congestion, dullness, texture</t>
        </is>
      </c>
      <c r="H35" s="3" t="inlineStr">
        <is>
          <t>Normal, oily, combination</t>
        </is>
      </c>
      <c r="I35" s="3" t="inlineStr">
        <is>
          <t>AM/PM or as tolerated</t>
        </is>
      </c>
      <c r="J35" s="3" t="inlineStr">
        <is>
          <t>Avoid over-cleansing; caution sensitive skin</t>
        </is>
      </c>
      <c r="K35" s="3" t="inlineStr">
        <is>
          <t>If oily T-zone + texture present, recommend Gentle Exfoliating Cleanser</t>
        </is>
      </c>
      <c r="L35" s="3" t="inlineStr">
        <is>
          <t>Cleanser</t>
        </is>
      </c>
      <c r="M35" s="3" t="inlineStr">
        <is>
          <t>High</t>
        </is>
      </c>
      <c r="N35" s="3" t="inlineStr">
        <is>
          <t>Official collection page</t>
        </is>
      </c>
      <c r="O35" s="4" t="inlineStr">
        <is>
          <t>https://www.vitaliskincare.com/collections/all</t>
        </is>
      </c>
      <c r="P35" s="3" t="inlineStr"/>
      <c r="Q35" s="32" t="n">
        <v>39</v>
      </c>
      <c r="R35" s="33" t="inlineStr">
        <is>
          <t>https://www.vitaliskincare.com/pages/total-ingredients-list</t>
        </is>
      </c>
      <c r="S35" s="34" t="inlineStr">
        <is>
          <t>2026-09-04</t>
        </is>
      </c>
      <c r="T35" s="35" t="inlineStr">
        <is>
          <t>No</t>
        </is>
      </c>
      <c r="U35" s="34" t="inlineStr">
        <is>
          <t>Full INCI checked</t>
        </is>
      </c>
      <c r="V35" s="36" t="inlineStr">
        <is>
          <t>Aqua, Lactic Acid, Glycerin, Cetearyl Alcohol, Cetyl Alcohol, Glyceryl Stearate, Carthamus Tinctorius (Safflower) Seed Oil, Avena Sativa Kernel Flour, Sodium Lauroyl Oat Amino Acids, Ceteareth-20, Sodium PCA, Avena Sativa Meal Extract, Avena Sativa Kernel Extract, Citrus Grandis (Grapefruit) Seed Extract, Ascorbyl Palmitate, Phospholipids, Phenoxyethanol, Hydroxypropyl Guar, Xanthan Gum, Ethylhexylglycerin, Sodium Phytate, Retinyl Palmitate, Tocopheryl Acetate</t>
        </is>
      </c>
      <c r="W35" s="33" t="inlineStr">
        <is>
          <t>https://www.vitaliskincare.com/pages/total-ingredients-list</t>
        </is>
      </c>
      <c r="X35" s="34" t="inlineStr">
        <is>
          <t>2026-09-04</t>
        </is>
      </c>
      <c r="Y35" s="13" t="inlineStr">
        <is>
          <t>Not reviewed</t>
        </is>
      </c>
      <c r="Z35" s="11" t="n"/>
      <c r="AA35" s="11" t="n"/>
      <c r="AB35" s="37" t="inlineStr">
        <is>
          <t>Fragrant botanicals/EO: Grapefruit Seed Extract (seed, not peel oil)</t>
        </is>
      </c>
      <c r="AC35" s="14" t="inlineStr">
        <is>
          <t>research_only</t>
        </is>
      </c>
      <c r="AD35" s="38" t="inlineStr">
        <is>
          <t>Contains Retinyl Palmitate — relevant to pregnancy review</t>
        </is>
      </c>
      <c r="AE35" s="14" t="n">
        <v>7</v>
      </c>
    </row>
    <row r="36" ht="58" customHeight="1">
      <c r="A36" s="2" t="n">
        <v>1</v>
      </c>
      <c r="B36" s="3" t="inlineStr">
        <is>
          <t>Vitali</t>
        </is>
      </c>
      <c r="C36" s="3" t="inlineStr">
        <is>
          <t>Hydration Boost Facial Oil &amp; Primer</t>
        </is>
      </c>
      <c r="D36" s="3" t="inlineStr">
        <is>
          <t>Facial Oil / Primer</t>
        </is>
      </c>
      <c r="E36" s="3" t="inlineStr">
        <is>
          <t>Oil / Makeup Prep</t>
        </is>
      </c>
      <c r="F36" s="3" t="inlineStr">
        <is>
          <t>Hydration boost facial oil and primer</t>
        </is>
      </c>
      <c r="G36" s="3" t="inlineStr">
        <is>
          <t>Dryness, makeup prep, glow, barrier support</t>
        </is>
      </c>
      <c r="H36" s="3" t="inlineStr">
        <is>
          <t>Dry, normal</t>
        </is>
      </c>
      <c r="I36" s="3" t="inlineStr">
        <is>
          <t>AM/PM or pre-makeup</t>
        </is>
      </c>
      <c r="J36" s="3" t="inlineStr">
        <is>
          <t>Caution acne-prone/oily skin</t>
        </is>
      </c>
      <c r="K36" s="3" t="inlineStr">
        <is>
          <t>If dryness/glow/makeup prep is desired, recommend Hydration Boost Oil &amp; Primer</t>
        </is>
      </c>
      <c r="L36" s="3" t="inlineStr">
        <is>
          <t>Oil/primer</t>
        </is>
      </c>
      <c r="M36" s="3" t="inlineStr">
        <is>
          <t>High</t>
        </is>
      </c>
      <c r="N36" s="3" t="inlineStr">
        <is>
          <t>Official collection page</t>
        </is>
      </c>
      <c r="O36" s="4" t="inlineStr">
        <is>
          <t>https://www.vitaliskincare.com/collections/all</t>
        </is>
      </c>
      <c r="P36" s="3" t="inlineStr"/>
      <c r="Q36" s="32" t="n">
        <v>39</v>
      </c>
      <c r="R36" s="33" t="inlineStr">
        <is>
          <t>https://www.vitaliskincare.com/pages/total-ingredients-list</t>
        </is>
      </c>
      <c r="S36" s="34" t="inlineStr">
        <is>
          <t>2026-09-04</t>
        </is>
      </c>
      <c r="T36" s="40" t="inlineStr">
        <is>
          <t>Yes</t>
        </is>
      </c>
      <c r="U36" s="34" t="inlineStr">
        <is>
          <t>Full INCI checked</t>
        </is>
      </c>
      <c r="V36" s="36" t="inlineStr">
        <is>
          <t>100% Organic Squalane (Olive)</t>
        </is>
      </c>
      <c r="W36" s="33" t="inlineStr">
        <is>
          <t>https://www.vitaliskincare.com/pages/total-ingredients-list</t>
        </is>
      </c>
      <c r="X36" s="34" t="inlineStr">
        <is>
          <t>2026-09-04</t>
        </is>
      </c>
      <c r="Y36" s="13" t="inlineStr">
        <is>
          <t>Not reviewed</t>
        </is>
      </c>
      <c r="Z36" s="11" t="n"/>
      <c r="AA36" s="11" t="n"/>
      <c r="AB36" s="11" t="n"/>
      <c r="AC36" s="14" t="inlineStr">
        <is>
          <t>research_only</t>
        </is>
      </c>
      <c r="AD36" s="38" t="inlineStr">
        <is>
          <t>Single-ingredient product. ECOCERT approved</t>
        </is>
      </c>
      <c r="AE36" s="14" t="n">
        <v>7</v>
      </c>
    </row>
    <row r="37" ht="58" customHeight="1">
      <c r="A37" s="2" t="n">
        <v>1</v>
      </c>
      <c r="B37" s="3" t="inlineStr">
        <is>
          <t>Vitali</t>
        </is>
      </c>
      <c r="C37" s="3" t="inlineStr">
        <is>
          <t>Advanced Copper Peptide Trio</t>
        </is>
      </c>
      <c r="D37" s="3" t="inlineStr">
        <is>
          <t>Bundle</t>
        </is>
      </c>
      <c r="E37" s="3" t="inlineStr">
        <is>
          <t>Copper Peptide System</t>
        </is>
      </c>
      <c r="F37" s="3" t="inlineStr">
        <is>
          <t>Copper peptide trio bundle</t>
        </is>
      </c>
      <c r="G37" s="3" t="inlineStr">
        <is>
          <t>Collagen support, firming, routine simplicity</t>
        </is>
      </c>
      <c r="H37" s="3" t="inlineStr">
        <is>
          <t>Aging, dry, mature</t>
        </is>
      </c>
      <c r="I37" s="3" t="inlineStr">
        <is>
          <t>System routine</t>
        </is>
      </c>
      <c r="J37" s="3" t="inlineStr">
        <is>
          <t>Introduce gradually</t>
        </is>
      </c>
      <c r="K37" s="3" t="inlineStr">
        <is>
          <t>If user wants copper-peptide focused routine, recommend Trio</t>
        </is>
      </c>
      <c r="L37" s="3" t="inlineStr">
        <is>
          <t>Bundle</t>
        </is>
      </c>
      <c r="M37" s="3" t="inlineStr">
        <is>
          <t>High</t>
        </is>
      </c>
      <c r="N37" s="3" t="inlineStr">
        <is>
          <t>Official collection page</t>
        </is>
      </c>
      <c r="O37" s="4" t="inlineStr">
        <is>
          <t>https://www.vitaliskincare.com/collections/all</t>
        </is>
      </c>
      <c r="P37" s="3" t="inlineStr"/>
      <c r="Q37" s="32" t="n">
        <v>352</v>
      </c>
      <c r="R37" s="33" t="inlineStr">
        <is>
          <t>https://www.vitaliskincare.com/pages/total-ingredients-list</t>
        </is>
      </c>
      <c r="S37" s="34" t="inlineStr">
        <is>
          <t>2026-09-04</t>
        </is>
      </c>
      <c r="T37" s="41" t="inlineStr">
        <is>
          <t>Unknown</t>
        </is>
      </c>
      <c r="U37" s="42" t="inlineStr">
        <is>
          <t>Not applicable - bundle</t>
        </is>
      </c>
      <c r="V37" s="44" t="inlineStr">
        <is>
          <t>BUNDLE</t>
        </is>
      </c>
      <c r="W37" s="11" t="n"/>
      <c r="X37" s="11" t="n"/>
      <c r="Y37" s="13" t="inlineStr">
        <is>
          <t>Not reviewed</t>
        </is>
      </c>
      <c r="Z37" s="11" t="n"/>
      <c r="AA37" s="11" t="n"/>
      <c r="AB37" s="11" t="n"/>
      <c r="AC37" s="14" t="inlineStr">
        <is>
          <t>research_only</t>
        </is>
      </c>
      <c r="AD37" s="38" t="inlineStr">
        <is>
          <t>Bundle</t>
        </is>
      </c>
      <c r="AE37" s="14" t="n">
        <v>4</v>
      </c>
    </row>
    <row r="38" ht="58" customHeight="1">
      <c r="A38" s="2" t="n">
        <v>1</v>
      </c>
      <c r="B38" s="3" t="inlineStr">
        <is>
          <t>Vitali</t>
        </is>
      </c>
      <c r="C38" s="3" t="inlineStr">
        <is>
          <t>Copper Peptide Bundle (Best Seller)</t>
        </is>
      </c>
      <c r="D38" s="3" t="inlineStr">
        <is>
          <t>Bundle</t>
        </is>
      </c>
      <c r="E38" s="3" t="inlineStr">
        <is>
          <t>Copper Peptide System</t>
        </is>
      </c>
      <c r="F38" s="3" t="inlineStr">
        <is>
          <t>Copper peptide bundle</t>
        </is>
      </c>
      <c r="G38" s="3" t="inlineStr">
        <is>
          <t>Aging, barrier support, redness, firmness</t>
        </is>
      </c>
      <c r="H38" s="3" t="inlineStr">
        <is>
          <t>Aging, dry, sensitive</t>
        </is>
      </c>
      <c r="I38" s="3" t="inlineStr">
        <is>
          <t>System routine</t>
        </is>
      </c>
      <c r="J38" s="3" t="inlineStr">
        <is>
          <t>Introduce gradually</t>
        </is>
      </c>
      <c r="K38" s="3" t="inlineStr">
        <is>
          <t>If multiple Vitali copper products fit the analysis, recommend bundle</t>
        </is>
      </c>
      <c r="L38" s="3" t="inlineStr">
        <is>
          <t>Bundle</t>
        </is>
      </c>
      <c r="M38" s="3" t="inlineStr">
        <is>
          <t>High</t>
        </is>
      </c>
      <c r="N38" s="3" t="inlineStr">
        <is>
          <t>Official collection page</t>
        </is>
      </c>
      <c r="O38" s="4" t="inlineStr">
        <is>
          <t>https://www.vitaliskincare.com/collections/all</t>
        </is>
      </c>
      <c r="P38" s="3" t="inlineStr"/>
      <c r="Q38" s="11" t="n"/>
      <c r="R38" s="33" t="inlineStr">
        <is>
          <t>https://www.vitaliskincare.com/pages/total-ingredients-list</t>
        </is>
      </c>
      <c r="S38" s="11" t="n"/>
      <c r="T38" s="41" t="inlineStr">
        <is>
          <t>Unknown</t>
        </is>
      </c>
      <c r="U38" s="42" t="inlineStr">
        <is>
          <t>Not checked</t>
        </is>
      </c>
      <c r="V38" s="43" t="inlineStr">
        <is>
          <t>NOT_FOUND</t>
        </is>
      </c>
      <c r="W38" s="11" t="n"/>
      <c r="X38" s="11" t="n"/>
      <c r="Y38" s="13" t="inlineStr">
        <is>
          <t>Not reviewed</t>
        </is>
      </c>
      <c r="Z38" s="11" t="n"/>
      <c r="AA38" s="11" t="n"/>
      <c r="AB38" s="11" t="n"/>
      <c r="AC38" s="14" t="inlineStr">
        <is>
          <t>blocked</t>
        </is>
      </c>
      <c r="AD38" s="39" t="inlineStr">
        <is>
          <t>DOES NOT EXIST AS NAMED (Phase 9F): absent from the live Vitali catalogue. Do not substitute a near neighbour — re-identify or drop the row. | CONFIRMED ABSENT 2026-09-04: verified three ways — not in /collections/all, not in /collections/bundles, not in the full 16-product products.json. The similarly named 'Copper Peptide Trio (Best Seller)' is a DIFFERENT product</t>
        </is>
      </c>
      <c r="AE38" s="14" t="n">
        <v>1</v>
      </c>
    </row>
    <row r="39" ht="58" customHeight="1">
      <c r="A39" s="2" t="n">
        <v>1</v>
      </c>
      <c r="B39" s="3" t="inlineStr">
        <is>
          <t>Vitali</t>
        </is>
      </c>
      <c r="C39" s="3" t="inlineStr">
        <is>
          <t>Copper Peptide Trio (Best Seller)</t>
        </is>
      </c>
      <c r="D39" s="3" t="inlineStr">
        <is>
          <t>Bundle</t>
        </is>
      </c>
      <c r="E39" s="3" t="inlineStr">
        <is>
          <t>Copper Peptide System</t>
        </is>
      </c>
      <c r="F39" s="3" t="inlineStr">
        <is>
          <t>Copper peptide trio</t>
        </is>
      </c>
      <c r="G39" s="3" t="inlineStr">
        <is>
          <t>Aging, firmness, collagen support</t>
        </is>
      </c>
      <c r="H39" s="3" t="inlineStr">
        <is>
          <t>Aging, mature</t>
        </is>
      </c>
      <c r="I39" s="3" t="inlineStr">
        <is>
          <t>System routine</t>
        </is>
      </c>
      <c r="J39" s="3" t="inlineStr">
        <is>
          <t>Introduce gradually</t>
        </is>
      </c>
      <c r="K39" s="3" t="inlineStr">
        <is>
          <t>If collagen/firmness is a top priority, recommend trio bundle</t>
        </is>
      </c>
      <c r="L39" s="3" t="inlineStr">
        <is>
          <t>Bundle</t>
        </is>
      </c>
      <c r="M39" s="3" t="inlineStr">
        <is>
          <t>High</t>
        </is>
      </c>
      <c r="N39" s="3" t="inlineStr">
        <is>
          <t>Official collection page</t>
        </is>
      </c>
      <c r="O39" s="4" t="inlineStr">
        <is>
          <t>https://www.vitaliskincare.com/collections/all</t>
        </is>
      </c>
      <c r="P39" s="3" t="inlineStr"/>
      <c r="Q39" s="32" t="n">
        <v>279.99</v>
      </c>
      <c r="R39" s="33" t="inlineStr">
        <is>
          <t>https://www.vitaliskincare.com/pages/total-ingredients-list</t>
        </is>
      </c>
      <c r="S39" s="34" t="inlineStr">
        <is>
          <t>2026-09-04</t>
        </is>
      </c>
      <c r="T39" s="41" t="inlineStr">
        <is>
          <t>Unknown</t>
        </is>
      </c>
      <c r="U39" s="42" t="inlineStr">
        <is>
          <t>Not applicable - bundle</t>
        </is>
      </c>
      <c r="V39" s="44" t="inlineStr">
        <is>
          <t>BUNDLE</t>
        </is>
      </c>
      <c r="W39" s="11" t="n"/>
      <c r="X39" s="11" t="n"/>
      <c r="Y39" s="13" t="inlineStr">
        <is>
          <t>Not reviewed</t>
        </is>
      </c>
      <c r="Z39" s="11" t="n"/>
      <c r="AA39" s="11" t="n"/>
      <c r="AB39" s="11" t="n"/>
      <c r="AC39" s="14" t="inlineStr">
        <is>
          <t>research_only</t>
        </is>
      </c>
      <c r="AD39" s="38" t="inlineStr">
        <is>
          <t>Bundle. Distinct from 'Advanced Copper Peptide Trio'</t>
        </is>
      </c>
      <c r="AE39" s="14" t="n">
        <v>4</v>
      </c>
    </row>
    <row r="40" ht="58" customHeight="1">
      <c r="A40" s="2" t="n">
        <v>1</v>
      </c>
      <c r="B40" s="3" t="inlineStr">
        <is>
          <t>Vitali</t>
        </is>
      </c>
      <c r="C40" s="3" t="inlineStr">
        <is>
          <t>Cellular Renewal Set</t>
        </is>
      </c>
      <c r="D40" s="3" t="inlineStr">
        <is>
          <t>Bundle</t>
        </is>
      </c>
      <c r="E40" s="3" t="inlineStr">
        <is>
          <t>Renewal System</t>
        </is>
      </c>
      <c r="F40" s="3" t="inlineStr">
        <is>
          <t>Cellular renewal set</t>
        </is>
      </c>
      <c r="G40" s="3" t="inlineStr">
        <is>
          <t>Texture, aging, renewal</t>
        </is>
      </c>
      <c r="H40" s="3" t="inlineStr">
        <is>
          <t>Normal, mature</t>
        </is>
      </c>
      <c r="I40" s="3" t="inlineStr">
        <is>
          <t>System routine</t>
        </is>
      </c>
      <c r="J40" s="3" t="inlineStr">
        <is>
          <t>Patch test; introduce gradually</t>
        </is>
      </c>
      <c r="K40" s="3" t="inlineStr">
        <is>
          <t>If overall renewal is the goal, recommend Cellular Renewal Set</t>
        </is>
      </c>
      <c r="L40" s="3" t="inlineStr">
        <is>
          <t>Bundle</t>
        </is>
      </c>
      <c r="M40" s="3" t="inlineStr">
        <is>
          <t>High</t>
        </is>
      </c>
      <c r="N40" s="3" t="inlineStr">
        <is>
          <t>Official collection page</t>
        </is>
      </c>
      <c r="O40" s="4" t="inlineStr">
        <is>
          <t>https://www.vitaliskincare.com/collections/all</t>
        </is>
      </c>
      <c r="P40" s="3" t="inlineStr"/>
      <c r="Q40" s="32" t="n">
        <v>215</v>
      </c>
      <c r="R40" s="33" t="inlineStr">
        <is>
          <t>https://www.vitaliskincare.com/pages/total-ingredients-list</t>
        </is>
      </c>
      <c r="S40" s="34" t="inlineStr">
        <is>
          <t>2026-09-04</t>
        </is>
      </c>
      <c r="T40" s="41" t="inlineStr">
        <is>
          <t>Unknown</t>
        </is>
      </c>
      <c r="U40" s="42" t="inlineStr">
        <is>
          <t>Not applicable - bundle</t>
        </is>
      </c>
      <c r="V40" s="44" t="inlineStr">
        <is>
          <t>BUNDLE</t>
        </is>
      </c>
      <c r="W40" s="11" t="n"/>
      <c r="X40" s="11" t="n"/>
      <c r="Y40" s="13" t="inlineStr">
        <is>
          <t>Not reviewed</t>
        </is>
      </c>
      <c r="Z40" s="11" t="n"/>
      <c r="AA40" s="11" t="n"/>
      <c r="AB40" s="11" t="n"/>
      <c r="AC40" s="14" t="inlineStr">
        <is>
          <t>research_only</t>
        </is>
      </c>
      <c r="AD40" s="38" t="inlineStr">
        <is>
          <t>Bundle</t>
        </is>
      </c>
      <c r="AE40" s="14" t="n">
        <v>4</v>
      </c>
    </row>
    <row r="41" ht="58" customHeight="1">
      <c r="A41" s="2" t="n">
        <v>1</v>
      </c>
      <c r="B41" s="3" t="inlineStr">
        <is>
          <t>Vitali</t>
        </is>
      </c>
      <c r="C41" s="3" t="inlineStr">
        <is>
          <t>Men's Set</t>
        </is>
      </c>
      <c r="D41" s="3" t="inlineStr">
        <is>
          <t>Bundle</t>
        </is>
      </c>
      <c r="E41" s="3" t="inlineStr">
        <is>
          <t>Men's Routine</t>
        </is>
      </c>
      <c r="F41" s="3" t="inlineStr">
        <is>
          <t>Men’s set</t>
        </is>
      </c>
      <c r="G41" s="3" t="inlineStr">
        <is>
          <t>Simplified men’s skincare, aging support</t>
        </is>
      </c>
      <c r="H41" s="3" t="inlineStr">
        <is>
          <t>Men, normal, dry, mature</t>
        </is>
      </c>
      <c r="I41" s="3" t="inlineStr">
        <is>
          <t>System routine</t>
        </is>
      </c>
      <c r="J41" s="3" t="inlineStr">
        <is>
          <t>Patch test</t>
        </is>
      </c>
      <c r="K41" s="3" t="inlineStr">
        <is>
          <t>If male client wants simplified routine, recommend Men's Set</t>
        </is>
      </c>
      <c r="L41" s="3" t="inlineStr">
        <is>
          <t>Bundle</t>
        </is>
      </c>
      <c r="M41" s="3" t="inlineStr">
        <is>
          <t>High</t>
        </is>
      </c>
      <c r="N41" s="3" t="inlineStr">
        <is>
          <t>Official collection page</t>
        </is>
      </c>
      <c r="O41" s="4" t="inlineStr">
        <is>
          <t>https://www.vitaliskincare.com/collections/all</t>
        </is>
      </c>
      <c r="P41" s="3" t="inlineStr"/>
      <c r="Q41" s="32" t="n">
        <v>229</v>
      </c>
      <c r="R41" s="33" t="inlineStr">
        <is>
          <t>https://www.vitaliskincare.com/pages/total-ingredients-list</t>
        </is>
      </c>
      <c r="S41" s="34" t="inlineStr">
        <is>
          <t>2026-09-04</t>
        </is>
      </c>
      <c r="T41" s="41" t="inlineStr">
        <is>
          <t>Unknown</t>
        </is>
      </c>
      <c r="U41" s="42" t="inlineStr">
        <is>
          <t>Not applicable - bundle</t>
        </is>
      </c>
      <c r="V41" s="44" t="inlineStr">
        <is>
          <t>BUNDLE</t>
        </is>
      </c>
      <c r="W41" s="11" t="n"/>
      <c r="X41" s="11" t="n"/>
      <c r="Y41" s="13" t="inlineStr">
        <is>
          <t>Not reviewed</t>
        </is>
      </c>
      <c r="Z41" s="11" t="n"/>
      <c r="AA41" s="11" t="n"/>
      <c r="AB41" s="11" t="n"/>
      <c r="AC41" s="14" t="inlineStr">
        <is>
          <t>research_only</t>
        </is>
      </c>
      <c r="AD41" s="38" t="inlineStr">
        <is>
          <t>Live title is 'Men's Essentials Set'. HIDDEN — absent from all collection pages, found only via products.json</t>
        </is>
      </c>
      <c r="AE41" s="14" t="n">
        <v>4</v>
      </c>
    </row>
    <row r="42" ht="58" customHeight="1">
      <c r="A42" s="2" t="n">
        <v>1</v>
      </c>
      <c r="B42" s="3" t="inlineStr">
        <is>
          <t>Alitura</t>
        </is>
      </c>
      <c r="C42" s="3" t="inlineStr">
        <is>
          <t>The Gold Serum</t>
        </is>
      </c>
      <c r="D42" s="3" t="inlineStr">
        <is>
          <t>Serum</t>
        </is>
      </c>
      <c r="E42" s="3" t="inlineStr">
        <is>
          <t>Antioxidant / Copper Peptide Serum</t>
        </is>
      </c>
      <c r="F42" s="3" t="inlineStr">
        <is>
          <t>95% organic + GHK-Cu + astaxanthin</t>
        </is>
      </c>
      <c r="G42" s="3" t="inlineStr">
        <is>
          <t>Dullness, oxidative stress, fine lines, tone support</t>
        </is>
      </c>
      <c r="H42" s="3" t="inlineStr">
        <is>
          <t>Normal, dry, mature</t>
        </is>
      </c>
      <c r="I42" s="3" t="inlineStr">
        <is>
          <t>AM/PM</t>
        </is>
      </c>
      <c r="J42" s="3" t="inlineStr">
        <is>
          <t>Patch test; caution if very acne-prone due to richer botanicals</t>
        </is>
      </c>
      <c r="K42" s="3" t="inlineStr">
        <is>
          <t>If antioxidant + copper peptide support is needed, recommend Gold Serum</t>
        </is>
      </c>
      <c r="L42" s="3" t="inlineStr">
        <is>
          <t>Serum</t>
        </is>
      </c>
      <c r="M42" s="3" t="inlineStr">
        <is>
          <t>High</t>
        </is>
      </c>
      <c r="N42" s="3" t="inlineStr">
        <is>
          <t>Official collection page</t>
        </is>
      </c>
      <c r="O42" s="4" t="inlineStr">
        <is>
          <t>https://alitura.com/collections/all</t>
        </is>
      </c>
      <c r="P42" s="3" t="inlineStr"/>
      <c r="Q42" s="32" t="n">
        <v>87</v>
      </c>
      <c r="R42" s="33" t="inlineStr">
        <is>
          <t>https://alitura.com</t>
        </is>
      </c>
      <c r="S42" s="34" t="inlineStr">
        <is>
          <t>2026-09-04</t>
        </is>
      </c>
      <c r="T42" s="35" t="inlineStr">
        <is>
          <t>No</t>
        </is>
      </c>
      <c r="U42" s="34" t="inlineStr">
        <is>
          <t>Full INCI checked</t>
        </is>
      </c>
      <c r="V42" s="36" t="inlineStr">
        <is>
          <t>Organic Jojoba Oil, Organic Olive Oil, Organic Witch Hazel, Organic Rose Water, Organic Rosehip Oil, Organic Hemp Seed Oil, Marine Collagen, Organic Hawaiian Beeswax, CoQ10, Organic Bee Propolis, Astaxanthin (Microalgae), Organic Medicago Sativa (Alfalfa) Extract, Copper Tripeptide-1, Organic Neroli Oil, Organic Rose Otto Essential Oil, Organic Australian Sandalwood Essential Oil, Organic Frankincense Essential Oil, Organic Carrot Seed Essential Oil</t>
        </is>
      </c>
      <c r="W42" s="33" t="inlineStr">
        <is>
          <t>https://alitura.com</t>
        </is>
      </c>
      <c r="X42" s="34" t="inlineStr">
        <is>
          <t>2026-09-04</t>
        </is>
      </c>
      <c r="Y42" s="13" t="inlineStr">
        <is>
          <t>Not reviewed</t>
        </is>
      </c>
      <c r="Z42" s="11" t="n"/>
      <c r="AA42" s="11" t="n"/>
      <c r="AB42" s="37" t="inlineStr">
        <is>
          <t>Fragrant botanicals/EO: Neroli; Rose Otto EO; Sandalwood EO; Frankincense EO; Carrot Seed EO; Rose Water</t>
        </is>
      </c>
      <c r="AC42" s="14" t="inlineStr">
        <is>
          <t>research_only</t>
        </is>
      </c>
      <c r="AD42" s="38" t="inlineStr">
        <is>
          <t>Common-name list, not strict INCI. 50ml $87 / 100ml $149</t>
        </is>
      </c>
      <c r="AE42" s="14" t="n">
        <v>7</v>
      </c>
    </row>
    <row r="43" ht="58" customHeight="1">
      <c r="A43" s="2" t="n">
        <v>1</v>
      </c>
      <c r="B43" s="3" t="inlineStr">
        <is>
          <t>Alitura</t>
        </is>
      </c>
      <c r="C43" s="3" t="inlineStr">
        <is>
          <t>The Clay Mask</t>
        </is>
      </c>
      <c r="D43" s="3" t="inlineStr">
        <is>
          <t>Mask</t>
        </is>
      </c>
      <c r="E43" s="3" t="inlineStr">
        <is>
          <t>Detox / Brightening Mask</t>
        </is>
      </c>
      <c r="F43" s="3" t="inlineStr">
        <is>
          <t>4-hour grass-fed colostrum + 10% ascorbic acid</t>
        </is>
      </c>
      <c r="G43" s="3" t="inlineStr">
        <is>
          <t>Congestion, dullness, oily T-zone, uneven tone</t>
        </is>
      </c>
      <c r="H43" s="3" t="inlineStr">
        <is>
          <t>Oily, combination, normal</t>
        </is>
      </c>
      <c r="I43" s="3" t="inlineStr">
        <is>
          <t>1–2x/week</t>
        </is>
      </c>
      <c r="J43" s="3" t="inlineStr">
        <is>
          <t>Caution sensitive/reactive skin due to vitamin C/clay; do not overuse</t>
        </is>
      </c>
      <c r="K43" s="3" t="inlineStr">
        <is>
          <t>If congestion/oiliness/dullness present and sensitivity is low, recommend Clay Mask</t>
        </is>
      </c>
      <c r="L43" s="3" t="inlineStr">
        <is>
          <t>Weekly mask</t>
        </is>
      </c>
      <c r="M43" s="3" t="inlineStr">
        <is>
          <t>High</t>
        </is>
      </c>
      <c r="N43" s="3" t="inlineStr">
        <is>
          <t>Official collection page</t>
        </is>
      </c>
      <c r="O43" s="4" t="inlineStr">
        <is>
          <t>https://alitura.com/collections/all</t>
        </is>
      </c>
      <c r="P43" s="3" t="inlineStr"/>
      <c r="Q43" s="32" t="n">
        <v>65</v>
      </c>
      <c r="R43" s="33" t="inlineStr">
        <is>
          <t>https://alitura.com</t>
        </is>
      </c>
      <c r="S43" s="34" t="inlineStr">
        <is>
          <t>2026-09-04</t>
        </is>
      </c>
      <c r="T43" s="41" t="inlineStr">
        <is>
          <t>Unknown</t>
        </is>
      </c>
      <c r="U43" s="42" t="inlineStr">
        <is>
          <t>Not checked</t>
        </is>
      </c>
      <c r="V43" s="43" t="inlineStr">
        <is>
          <t>NOT_PUBLISHED</t>
        </is>
      </c>
      <c r="W43" s="11" t="n"/>
      <c r="X43" s="11" t="n"/>
      <c r="Y43" s="13" t="inlineStr">
        <is>
          <t>Not reviewed</t>
        </is>
      </c>
      <c r="Z43" s="11" t="n"/>
      <c r="AA43" s="11" t="n"/>
      <c r="AB43" s="11" t="n"/>
      <c r="AC43" s="14" t="inlineStr">
        <is>
          <t>research_only</t>
        </is>
      </c>
      <c r="AD43" s="38" t="inlineStr">
        <is>
          <t>No labeled ingredient list — marketing '9 in 1 Formula' prose only. Claims 'formulated WITHOUT synthetic fragrances' but publishes no list to verify</t>
        </is>
      </c>
      <c r="AE43" s="14" t="n">
        <v>7</v>
      </c>
    </row>
    <row r="44" ht="58" customHeight="1">
      <c r="A44" s="2" t="n">
        <v>1</v>
      </c>
      <c r="B44" s="3" t="inlineStr">
        <is>
          <t>Alitura</t>
        </is>
      </c>
      <c r="C44" s="3" t="inlineStr">
        <is>
          <t>The Meteorite Facial Scrub</t>
        </is>
      </c>
      <c r="D44" s="3" t="inlineStr">
        <is>
          <t>Exfoliant</t>
        </is>
      </c>
      <c r="E44" s="3" t="inlineStr">
        <is>
          <t>Physical/Chemical Exfoliant</t>
        </is>
      </c>
      <c r="F44" s="3" t="inlineStr">
        <is>
          <t>Bamboo stem cells + mandelic acid + niacinamide</t>
        </is>
      </c>
      <c r="G44" s="3" t="inlineStr">
        <is>
          <t>Texture, dullness, clogged pores, uneven tone</t>
        </is>
      </c>
      <c r="H44" s="3" t="inlineStr">
        <is>
          <t>Normal, oily, combination</t>
        </is>
      </c>
      <c r="I44" s="3" t="inlineStr">
        <is>
          <t>1x/week PM</t>
        </is>
      </c>
      <c r="J44" s="3" t="inlineStr">
        <is>
          <t>Avoid if barrier is damaged, rosacea-prone, inflamed, or highly sensitive</t>
        </is>
      </c>
      <c r="K44" s="3" t="inlineStr">
        <is>
          <t>If texture + dullness are present but redness/sensitivity low, recommend Meteorite Scrub</t>
        </is>
      </c>
      <c r="L44" s="3" t="inlineStr">
        <is>
          <t>Weekly exfoliation</t>
        </is>
      </c>
      <c r="M44" s="3" t="inlineStr">
        <is>
          <t>High</t>
        </is>
      </c>
      <c r="N44" s="3" t="inlineStr">
        <is>
          <t>Official collection page</t>
        </is>
      </c>
      <c r="O44" s="4" t="inlineStr">
        <is>
          <t>https://alitura.com/collections/all</t>
        </is>
      </c>
      <c r="P44" s="3" t="inlineStr"/>
      <c r="Q44" s="32" t="n">
        <v>79</v>
      </c>
      <c r="R44" s="33" t="inlineStr">
        <is>
          <t>https://alitura.com</t>
        </is>
      </c>
      <c r="S44" s="34" t="inlineStr">
        <is>
          <t>2026-09-04</t>
        </is>
      </c>
      <c r="T44" s="35" t="inlineStr">
        <is>
          <t>No</t>
        </is>
      </c>
      <c r="U44" s="34" t="inlineStr">
        <is>
          <t>Full INCI checked</t>
        </is>
      </c>
      <c r="V44" s="36" t="inlineStr">
        <is>
          <t>Water, Bamboo Stem Cell Extract, Glycerin, Diatomaceous Earth, Olive Glucoside, Niacinamide, Lactic Acid, Guar Gum, Papaver Somniferum Seeds, Leuconostoc/Radish Root Ferment Filtrate, Lactobacillus, Aloe Barbadensis Leaf Extract, Chondrus Crispus Extract, Hyaluronic Acid, Tremella Mushroom Extract, Betaine, Curcuma Longa Root Extract, Salix Alba (Willow) Bark Extract, Oryza Sativa (Rice) Extract, Morus Nigra Leaf Extract, Fulvic Acid, Madonna Lily Leaf Stem Cell Extract, Pomegranate Extract, Meteorite Powder, Mandelic Acid, Freshwater Pearl Powder, Montmorillonite, Citrus Limonum (Lemon) Peel Powder, Charcoal Powder, Amber Powder, Pacific Yew Branch Tip, Japanese Green Tea Powder, Citric Acid, Silver Ions, Prunus Avium (Cherry) Seed Powder, Olea Europaea (Olive) Seed Powder, Pinus Sylvestris (Pine) Oil, Cocos Nucifera Fruit Extract</t>
        </is>
      </c>
      <c r="W44" s="33" t="inlineStr">
        <is>
          <t>https://alitura.com</t>
        </is>
      </c>
      <c r="X44" s="34" t="inlineStr">
        <is>
          <t>2026-09-04</t>
        </is>
      </c>
      <c r="Y44" s="17" t="inlineStr">
        <is>
          <t>CAUTION (provisional)</t>
        </is>
      </c>
      <c r="Z44" s="11" t="n"/>
      <c r="AA44" s="11" t="n"/>
      <c r="AB44" s="37" t="inlineStr">
        <is>
          <t>Fragrant botanicals/EO: Pine Oil; Lemon Peel Powder</t>
        </is>
      </c>
      <c r="AC44" s="14" t="inlineStr">
        <is>
          <t>research_only</t>
        </is>
      </c>
      <c r="AD44" s="38" t="inlineStr">
        <is>
          <t>60ml $79</t>
        </is>
      </c>
      <c r="AE44" s="14" t="n">
        <v>7</v>
      </c>
    </row>
    <row r="45" ht="58" customHeight="1">
      <c r="A45" s="2" t="n">
        <v>1</v>
      </c>
      <c r="B45" s="3" t="inlineStr">
        <is>
          <t>Alitura</t>
        </is>
      </c>
      <c r="C45" s="3" t="inlineStr">
        <is>
          <t>The Pearl Cleanser</t>
        </is>
      </c>
      <c r="D45" s="3" t="inlineStr">
        <is>
          <t>Cleanser</t>
        </is>
      </c>
      <c r="E45" s="3" t="inlineStr">
        <is>
          <t>Cleanser</t>
        </is>
      </c>
      <c r="F45" s="3" t="inlineStr">
        <is>
          <t>Freshwater pearl powder + tremella mushroom</t>
        </is>
      </c>
      <c r="G45" s="3" t="inlineStr">
        <is>
          <t>Daily cleansing, glow, gentle cleanse</t>
        </is>
      </c>
      <c r="H45" s="3" t="inlineStr">
        <is>
          <t>Normal, dry, combination</t>
        </is>
      </c>
      <c r="I45" s="3" t="inlineStr">
        <is>
          <t>AM/PM</t>
        </is>
      </c>
      <c r="J45" s="3" t="inlineStr">
        <is>
          <t>Patch test</t>
        </is>
      </c>
      <c r="K45" s="3" t="inlineStr">
        <is>
          <t>If gentle daily cleanse and radiance support needed, recommend Pearl Cleanser</t>
        </is>
      </c>
      <c r="L45" s="3" t="inlineStr">
        <is>
          <t>Cleanser</t>
        </is>
      </c>
      <c r="M45" s="3" t="inlineStr">
        <is>
          <t>High</t>
        </is>
      </c>
      <c r="N45" s="3" t="inlineStr">
        <is>
          <t>Official collection page</t>
        </is>
      </c>
      <c r="O45" s="4" t="inlineStr">
        <is>
          <t>https://alitura.com/collections/all</t>
        </is>
      </c>
      <c r="P45" s="3" t="inlineStr"/>
      <c r="Q45" s="32" t="n">
        <v>55</v>
      </c>
      <c r="R45" s="33" t="inlineStr">
        <is>
          <t>https://alitura.com</t>
        </is>
      </c>
      <c r="S45" s="34" t="inlineStr">
        <is>
          <t>2026-09-04</t>
        </is>
      </c>
      <c r="T45" s="35" t="inlineStr">
        <is>
          <t>No</t>
        </is>
      </c>
      <c r="U45" s="34" t="inlineStr">
        <is>
          <t>Full INCI checked</t>
        </is>
      </c>
      <c r="V45" s="36" t="inlineStr">
        <is>
          <t>Water/Aqua, Kaolin Clay, Geranium Flower Water, Rose Flower Water, Olive Oil, Sodium Olivoyl Glutamate, Leuconostoc/Radish Root Ferment Filtrate, Lactobacillus, Cocos Nucifera Fruit Extract, Pearl Powder, Vegetable Glycerin, Guar Gum, Tremella Mushroom Extract, Betaine, Wild Thyme, Horsetail, Marshmallow Root, Burdock Root, Gotu Kola, Eyebright, Giant Sea Kelp Extract, Panax Ginseng Root, Wild Yam Root, Green Coffee Seed, Laminaria Japonica Extract, Rosehip Seed Oil, Schizandra Fruit, Tocopherol, Colloidal Silver, Aloe Vera, Essential Oils (Geranium, Jasmine, Clary Sage, Roman Chamomile, Rose Damascena, Jojoba, Ylang Ylang)</t>
        </is>
      </c>
      <c r="W45" s="33" t="inlineStr">
        <is>
          <t>https://alitura.com</t>
        </is>
      </c>
      <c r="X45" s="34" t="inlineStr">
        <is>
          <t>2026-09-04</t>
        </is>
      </c>
      <c r="Y45" s="13" t="inlineStr">
        <is>
          <t>Not reviewed</t>
        </is>
      </c>
      <c r="Z45" s="11" t="n"/>
      <c r="AA45" s="11" t="n"/>
      <c r="AB45" s="37" t="inlineStr">
        <is>
          <t>Fragrant botanicals/EO: Geranium; Jasmine; Clary Sage; Roman Chamomile; Rose Damascena; Ylang Ylang EOs + geranium/rose waters</t>
        </is>
      </c>
      <c r="AC45" s="14" t="inlineStr">
        <is>
          <t>research_only</t>
        </is>
      </c>
      <c r="AD45" s="38" t="inlineStr">
        <is>
          <t>Common-name list. 100ml $55</t>
        </is>
      </c>
      <c r="AE45" s="14" t="n">
        <v>7</v>
      </c>
    </row>
    <row r="46" ht="58" customHeight="1">
      <c r="A46" s="2" t="n">
        <v>1</v>
      </c>
      <c r="B46" s="3" t="inlineStr">
        <is>
          <t>Alitura</t>
        </is>
      </c>
      <c r="C46" s="3" t="inlineStr">
        <is>
          <t>The Moisturizer</t>
        </is>
      </c>
      <c r="D46" s="3" t="inlineStr">
        <is>
          <t>Moisturizer</t>
        </is>
      </c>
      <c r="E46" s="3" t="inlineStr">
        <is>
          <t>Moisturizer</t>
        </is>
      </c>
      <c r="F46" s="3" t="inlineStr">
        <is>
          <t>German blue chamomile + bee propolis extract</t>
        </is>
      </c>
      <c r="G46" s="3" t="inlineStr">
        <is>
          <t>Barrier support, dryness, redness, daily moisture</t>
        </is>
      </c>
      <c r="H46" s="3" t="inlineStr">
        <is>
          <t>Dry, normal, sensitive</t>
        </is>
      </c>
      <c r="I46" s="3" t="inlineStr">
        <is>
          <t>AM/PM</t>
        </is>
      </c>
      <c r="J46" s="3" t="inlineStr">
        <is>
          <t>Avoid bee products if allergy concern</t>
        </is>
      </c>
      <c r="K46" s="3" t="inlineStr">
        <is>
          <t>If mild redness/barrier stress/dryness present, recommend Moisturizer</t>
        </is>
      </c>
      <c r="L46" s="3" t="inlineStr">
        <is>
          <t>Moisturizer</t>
        </is>
      </c>
      <c r="M46" s="3" t="inlineStr">
        <is>
          <t>High</t>
        </is>
      </c>
      <c r="N46" s="3" t="inlineStr">
        <is>
          <t>Official collection page</t>
        </is>
      </c>
      <c r="O46" s="4" t="inlineStr">
        <is>
          <t>https://alitura.com/collections/all</t>
        </is>
      </c>
      <c r="P46" s="3" t="inlineStr"/>
      <c r="Q46" s="32" t="n">
        <v>55</v>
      </c>
      <c r="R46" s="33" t="inlineStr">
        <is>
          <t>https://alitura.com</t>
        </is>
      </c>
      <c r="S46" s="34" t="inlineStr">
        <is>
          <t>2026-09-04</t>
        </is>
      </c>
      <c r="T46" s="35" t="inlineStr">
        <is>
          <t>No</t>
        </is>
      </c>
      <c r="U46" s="34" t="inlineStr">
        <is>
          <t>Full INCI checked</t>
        </is>
      </c>
      <c r="V46" s="36" t="inlineStr">
        <is>
          <t>Purified Hawaiian Water, Organic Extra Virgin Olive Oil, Organic Cocoa Butter, Organic Beeswax, Organic Evening Primrose Oil, Organic Aloe Vera Juice, Raw Organic Wilelaiki Honey, Organic Bee Propolis Extract, Organic Ylang Ylang Essential Oil, Organic Australian Sandalwood Essential Oil, Organic German Blue Chamomile Essential Oil, Organic Sea Buckthorn Essential Oil, Wildcrafted Calendula Essential Oil, Organic Carrot Seed Essential Oil, Wildcrafted Vanilla Essential Oil, Royal Jelly</t>
        </is>
      </c>
      <c r="W46" s="33" t="inlineStr">
        <is>
          <t>https://alitura.com</t>
        </is>
      </c>
      <c r="X46" s="34" t="inlineStr">
        <is>
          <t>2026-09-04</t>
        </is>
      </c>
      <c r="Y46" s="13" t="inlineStr">
        <is>
          <t>Not reviewed</t>
        </is>
      </c>
      <c r="Z46" s="11" t="n"/>
      <c r="AA46" s="11" t="n"/>
      <c r="AB46" s="37" t="inlineStr">
        <is>
          <t>Fragrant botanicals/EO: Ylang Ylang; Sandalwood; German Blue Chamomile; Sea Buckthorn; Calendula; Carrot Seed; Vanilla EOs</t>
        </is>
      </c>
      <c r="AC46" s="14" t="inlineStr">
        <is>
          <t>research_only</t>
        </is>
      </c>
      <c r="AD46" s="38" t="inlineStr">
        <is>
          <t>Common-name list. 50ml $55 / 100ml $85</t>
        </is>
      </c>
      <c r="AE46" s="14" t="n">
        <v>7</v>
      </c>
    </row>
    <row r="47" ht="58" customHeight="1">
      <c r="A47" s="2" t="n">
        <v>1</v>
      </c>
      <c r="B47" s="3" t="inlineStr">
        <is>
          <t>Alitura</t>
        </is>
      </c>
      <c r="C47" s="3" t="inlineStr">
        <is>
          <t>The Night Cream</t>
        </is>
      </c>
      <c r="D47" s="3" t="inlineStr">
        <is>
          <t>Night Cream</t>
        </is>
      </c>
      <c r="E47" s="3" t="inlineStr">
        <is>
          <t>Moisturizer / Repair</t>
        </is>
      </c>
      <c r="F47" s="3" t="inlineStr">
        <is>
          <t>Edelweiss &amp; gardenia stem cells + hyaluronic acid</t>
        </is>
      </c>
      <c r="G47" s="3" t="inlineStr">
        <is>
          <t>Night repair, dehydration, texture, mature skin</t>
        </is>
      </c>
      <c r="H47" s="3" t="inlineStr">
        <is>
          <t>Dry, normal, mature</t>
        </is>
      </c>
      <c r="I47" s="3" t="inlineStr">
        <is>
          <t>PM</t>
        </is>
      </c>
      <c r="J47" s="3" t="inlineStr">
        <is>
          <t>Patch test</t>
        </is>
      </c>
      <c r="K47" s="3" t="inlineStr">
        <is>
          <t>If PM hydration and repair are priorities, recommend Night Cream</t>
        </is>
      </c>
      <c r="L47" s="3" t="inlineStr">
        <is>
          <t>Night moisturizer</t>
        </is>
      </c>
      <c r="M47" s="3" t="inlineStr">
        <is>
          <t>High</t>
        </is>
      </c>
      <c r="N47" s="3" t="inlineStr">
        <is>
          <t>Official collection page</t>
        </is>
      </c>
      <c r="O47" s="4" t="inlineStr">
        <is>
          <t>https://alitura.com/collections/all</t>
        </is>
      </c>
      <c r="P47" s="3" t="inlineStr"/>
      <c r="Q47" s="32" t="n">
        <v>85</v>
      </c>
      <c r="R47" s="33" t="inlineStr">
        <is>
          <t>https://alitura.com</t>
        </is>
      </c>
      <c r="S47" s="34" t="inlineStr">
        <is>
          <t>2026-09-04</t>
        </is>
      </c>
      <c r="T47" s="35" t="inlineStr">
        <is>
          <t>No</t>
        </is>
      </c>
      <c r="U47" s="34" t="inlineStr">
        <is>
          <t>Full INCI checked</t>
        </is>
      </c>
      <c r="V47" s="36" t="inlineStr">
        <is>
          <t>Extra Virgin Olive Oil, Helichrysum Hydrosol, Hawaiian Beeswax, Pracaxi/Acai Oil blend, 10% Hyaluronic Acid (Vegan), Andiroba Oil, Leuconostoc/Radish Root Ferment Filtrate, Lactobacillus, Cocos Nucifera Fruit Extract, Buriti Oil, Raw Manuka Honey, Cacao Butter, Rose Hip Seed Oil, Royal Jelly, Edelweiss Stem Cells, Gardenia Stem Cells, Colostrum, CoQ10, Red Clover Extract, Chaga Mushroom Extract, Chlorella Extract, Camu Camu Extract, Schizandra Extract, Essential Oils (German Blue Chamomile, Madagascar Vanilla, Neroli, Lemon, Sea Buckthorn, Geranium)</t>
        </is>
      </c>
      <c r="W47" s="33" t="inlineStr">
        <is>
          <t>https://alitura.com</t>
        </is>
      </c>
      <c r="X47" s="34" t="inlineStr">
        <is>
          <t>2026-09-04</t>
        </is>
      </c>
      <c r="Y47" s="13" t="inlineStr">
        <is>
          <t>Not reviewed</t>
        </is>
      </c>
      <c r="Z47" s="11" t="n"/>
      <c r="AA47" s="11" t="n"/>
      <c r="AB47" s="37" t="inlineStr">
        <is>
          <t>Fragrant botanicals/EO: German Blue Chamomile; Vanilla; Neroli; Lemon; Sea Buckthorn; Geranium EOs; Helichrysum</t>
        </is>
      </c>
      <c r="AC47" s="14" t="inlineStr">
        <is>
          <t>research_only</t>
        </is>
      </c>
      <c r="AD47" s="38" t="inlineStr">
        <is>
          <t>Common-name list. 50ml $85</t>
        </is>
      </c>
      <c r="AE47" s="14" t="n">
        <v>7</v>
      </c>
    </row>
    <row r="48" ht="58" customHeight="1">
      <c r="A48" s="2" t="n">
        <v>1</v>
      </c>
      <c r="B48" s="3" t="inlineStr">
        <is>
          <t>Alitura</t>
        </is>
      </c>
      <c r="C48" s="3" t="inlineStr">
        <is>
          <t>Angel's Mist Facial Toner</t>
        </is>
      </c>
      <c r="D48" s="3" t="inlineStr">
        <is>
          <t>Toner / Mist</t>
        </is>
      </c>
      <c r="E48" s="3" t="inlineStr">
        <is>
          <t>Toner</t>
        </is>
      </c>
      <c r="F48" s="3" t="inlineStr">
        <is>
          <t>Organic rose + organic myrrh + niacinamide</t>
        </is>
      </c>
      <c r="G48" s="3" t="inlineStr">
        <is>
          <t>Tone support, light hydration, redness/dullness</t>
        </is>
      </c>
      <c r="H48" s="3" t="inlineStr">
        <is>
          <t>All, especially normal/dry</t>
        </is>
      </c>
      <c r="I48" s="3" t="inlineStr">
        <is>
          <t>AM/PM after cleanse</t>
        </is>
      </c>
      <c r="J48" s="3" t="inlineStr">
        <is>
          <t>Patch test for botanical sensitivity</t>
        </is>
      </c>
      <c r="K48" s="3" t="inlineStr">
        <is>
          <t>If user needs toner/mist with niacinamide support, recommend Angel’s Mist</t>
        </is>
      </c>
      <c r="L48" s="3" t="inlineStr">
        <is>
          <t>Toner</t>
        </is>
      </c>
      <c r="M48" s="3" t="inlineStr">
        <is>
          <t>High</t>
        </is>
      </c>
      <c r="N48" s="3" t="inlineStr">
        <is>
          <t>Official collection page</t>
        </is>
      </c>
      <c r="O48" s="4" t="inlineStr">
        <is>
          <t>https://alitura.com/collections/all</t>
        </is>
      </c>
      <c r="P48" s="3" t="inlineStr"/>
      <c r="Q48" s="32" t="n">
        <v>55</v>
      </c>
      <c r="R48" s="33" t="inlineStr">
        <is>
          <t>https://alitura.com</t>
        </is>
      </c>
      <c r="S48" s="34" t="inlineStr">
        <is>
          <t>2026-09-04</t>
        </is>
      </c>
      <c r="T48" s="35" t="inlineStr">
        <is>
          <t>No</t>
        </is>
      </c>
      <c r="U48" s="34" t="inlineStr">
        <is>
          <t>Full INCI checked</t>
        </is>
      </c>
      <c r="V48" s="36" t="inlineStr">
        <is>
          <t>Hawaiian Purified Water, Organic Witch Hazel Extract, Organic Rose Hydrosol, Organic Cane Alcohol, Caffeine, Niacinamide, Organic Olive Oil, Organic Rose Essential Oil, Organic Blood Orange Essential Oil, Organic Lemongrass Essential Oil, Organic Ylang Ylang Essential Oil, Organic Neroli Essential Oil, Flower of Saqqara Essential Oil, Nile Flower Essential Oil, Egyptian Myrrh Essential Oil, Blue Lotus Essential Oil</t>
        </is>
      </c>
      <c r="W48" s="33" t="inlineStr">
        <is>
          <t>https://alitura.com</t>
        </is>
      </c>
      <c r="X48" s="34" t="inlineStr">
        <is>
          <t>2026-09-04</t>
        </is>
      </c>
      <c r="Y48" s="13" t="inlineStr">
        <is>
          <t>Not reviewed</t>
        </is>
      </c>
      <c r="Z48" s="11" t="n"/>
      <c r="AA48" s="11" t="n"/>
      <c r="AB48" s="37" t="inlineStr">
        <is>
          <t>Fragrant botanicals/EO: NINE essential oils: Rose, Blood Orange, Lemongrass, Ylang Ylang, Neroli, Flower of Saqqara, Nile Flower, Egyptian Myrrh, Blue Lotus + rose hydrosol</t>
        </is>
      </c>
      <c r="AC48" s="14" t="inlineStr">
        <is>
          <t>research_only</t>
        </is>
      </c>
      <c r="AD48" s="38" t="inlineStr">
        <is>
          <t>Heaviest EO load in the catalog. Also contains cane alcohol. 100ml $55</t>
        </is>
      </c>
      <c r="AE48" s="14" t="n">
        <v>7</v>
      </c>
    </row>
    <row r="49" ht="58" customHeight="1">
      <c r="A49" s="2" t="n">
        <v>1</v>
      </c>
      <c r="B49" s="3" t="inlineStr">
        <is>
          <t>Alitura</t>
        </is>
      </c>
      <c r="C49" s="3" t="inlineStr">
        <is>
          <t>The Body Lotion</t>
        </is>
      </c>
      <c r="D49" s="3" t="inlineStr">
        <is>
          <t>Body Lotion</t>
        </is>
      </c>
      <c r="E49" s="3" t="inlineStr">
        <is>
          <t>Body Moisturizer</t>
        </is>
      </c>
      <c r="F49" s="3" t="inlineStr">
        <is>
          <t>Organic Brazilian acai butter + organic ylang-ylang</t>
        </is>
      </c>
      <c r="G49" s="3" t="inlineStr">
        <is>
          <t>Body dryness, glow, body skin support</t>
        </is>
      </c>
      <c r="H49" s="3" t="inlineStr">
        <is>
          <t>Dry, normal</t>
        </is>
      </c>
      <c r="I49" s="3" t="inlineStr">
        <is>
          <t>Daily body care</t>
        </is>
      </c>
      <c r="J49" s="3" t="inlineStr">
        <is>
          <t>Caution fragrance sensitivity</t>
        </is>
      </c>
      <c r="K49" s="3" t="inlineStr">
        <is>
          <t>If body dryness is flagged, recommend Body Lotion</t>
        </is>
      </c>
      <c r="L49" s="3" t="inlineStr">
        <is>
          <t>Body moisturizer</t>
        </is>
      </c>
      <c r="M49" s="3" t="inlineStr">
        <is>
          <t>High</t>
        </is>
      </c>
      <c r="N49" s="3" t="inlineStr">
        <is>
          <t>Official collection page</t>
        </is>
      </c>
      <c r="O49" s="4" t="inlineStr">
        <is>
          <t>https://alitura.com/collections/all</t>
        </is>
      </c>
      <c r="P49" s="3" t="inlineStr"/>
      <c r="Q49" s="32" t="n">
        <v>89</v>
      </c>
      <c r="R49" s="33" t="inlineStr">
        <is>
          <t>https://alitura.com</t>
        </is>
      </c>
      <c r="S49" s="34" t="inlineStr">
        <is>
          <t>2026-09-04</t>
        </is>
      </c>
      <c r="T49" s="35" t="inlineStr">
        <is>
          <t>No</t>
        </is>
      </c>
      <c r="U49" s="34" t="inlineStr">
        <is>
          <t>Full INCI checked</t>
        </is>
      </c>
      <c r="V49" s="36" t="inlineStr">
        <is>
          <t>Organic Olive Oil, Purified Water, Organic Beeswax, Organic Brazilian Acai Butter, Organic Green Coffee Oil, Wildcrafted Andiroba Oil, Organic Rosehip Oil, Essential Oils (Australian Sandalwood, Madagascar Vanilla, Neroli, Ylang Ylang, Lemongrass)</t>
        </is>
      </c>
      <c r="W49" s="33" t="inlineStr">
        <is>
          <t>https://alitura.com</t>
        </is>
      </c>
      <c r="X49" s="34" t="inlineStr">
        <is>
          <t>2026-09-04</t>
        </is>
      </c>
      <c r="Y49" s="13" t="inlineStr">
        <is>
          <t>Not reviewed</t>
        </is>
      </c>
      <c r="Z49" s="11" t="n"/>
      <c r="AA49" s="11" t="n"/>
      <c r="AB49" s="37" t="inlineStr">
        <is>
          <t>Fragrant botanicals/EO: Sandalwood; Vanilla; Neroli; Ylang Ylang; Lemongrass EOs</t>
        </is>
      </c>
      <c r="AC49" s="14" t="inlineStr">
        <is>
          <t>research_only</t>
        </is>
      </c>
      <c r="AD49" s="38" t="inlineStr">
        <is>
          <t>Common-name list. 200ml $89</t>
        </is>
      </c>
      <c r="AE49" s="14" t="n">
        <v>7</v>
      </c>
    </row>
    <row r="50" ht="58" customHeight="1">
      <c r="A50" s="2" t="n">
        <v>1</v>
      </c>
      <c r="B50" s="3" t="inlineStr">
        <is>
          <t>Alitura</t>
        </is>
      </c>
      <c r="C50" s="3" t="inlineStr">
        <is>
          <t>Santal Black Hair &amp; Body Oil</t>
        </is>
      </c>
      <c r="D50" s="3" t="inlineStr">
        <is>
          <t>Hair &amp; Body Oil</t>
        </is>
      </c>
      <c r="E50" s="3" t="inlineStr">
        <is>
          <t>Oil</t>
        </is>
      </c>
      <c r="F50" s="3" t="inlineStr">
        <is>
          <t>Indian &amp; Australian sandalwood + bergamot</t>
        </is>
      </c>
      <c r="G50" s="3" t="inlineStr">
        <is>
          <t>Body dryness, hair/body glow</t>
        </is>
      </c>
      <c r="H50" s="3" t="inlineStr">
        <is>
          <t>Dry skin, normal skin</t>
        </is>
      </c>
      <c r="I50" s="3" t="inlineStr">
        <is>
          <t>As needed</t>
        </is>
      </c>
      <c r="J50" s="3" t="inlineStr">
        <is>
          <t>Caution fragrance/essential oil sensitivity</t>
        </is>
      </c>
      <c r="K50" s="3" t="inlineStr">
        <is>
          <t>If body/hair oil requested and sensitivity low, recommend Santal Black</t>
        </is>
      </c>
      <c r="L50" s="3" t="inlineStr">
        <is>
          <t>Oil</t>
        </is>
      </c>
      <c r="M50" s="3" t="inlineStr">
        <is>
          <t>Medium</t>
        </is>
      </c>
      <c r="N50" s="3" t="inlineStr">
        <is>
          <t>Official collection page</t>
        </is>
      </c>
      <c r="O50" s="4" t="inlineStr">
        <is>
          <t>https://alitura.com/collections/all</t>
        </is>
      </c>
      <c r="P50" s="3" t="inlineStr"/>
      <c r="Q50" s="32" t="n">
        <v>59</v>
      </c>
      <c r="R50" s="33" t="inlineStr">
        <is>
          <t>https://alitura.com</t>
        </is>
      </c>
      <c r="S50" s="34" t="inlineStr">
        <is>
          <t>2026-09-04</t>
        </is>
      </c>
      <c r="T50" s="35" t="inlineStr">
        <is>
          <t>No</t>
        </is>
      </c>
      <c r="U50" s="34" t="inlineStr">
        <is>
          <t>Full INCI checked</t>
        </is>
      </c>
      <c r="V50" s="36" t="inlineStr">
        <is>
          <t>Helianthus Annuus Seed Oil, Simmondsia Chinensis Seed Oil, Babassu Oil, Pomegranate Oil, Tocopherol, Citrus Aurantium Bergamia Peel Oil (Bergamot), Myroxylon Pereirae Oil, Styrax Benzoin Resin Extract, Vanilla Planifolia Fruit Extract, Piper Nigrum Fruit Oil, Vetiveria Zizanoides Root Oil, Elettaria Cardamomum Oil, Amyris Balsamifera Bark Oil, Copaifera Species Resin Oils, Dipterocarpus Turbinatus Balsam Oil, Santalum Album Oil, Santalum Spicatum Wood Oil</t>
        </is>
      </c>
      <c r="W50" s="33" t="inlineStr">
        <is>
          <t>https://alitura.com</t>
        </is>
      </c>
      <c r="X50" s="34" t="inlineStr">
        <is>
          <t>2026-09-04</t>
        </is>
      </c>
      <c r="Y50" s="13" t="inlineStr">
        <is>
          <t>Not reviewed</t>
        </is>
      </c>
      <c r="Z50" s="11" t="n"/>
      <c r="AA50" s="11" t="n"/>
      <c r="AB50" s="37" t="inlineStr">
        <is>
          <t>Fragrant botanicals/EO: 12 of 18 ingredients aromatic: Bergamot, Balsam Peru, Benzoin, Vanilla, Black Pepper, Vetiver, Cardamom, Amyris, Copaiba, Gurjun, Indian + Australian Sandalwood | EU allergen: Myroxylon Pereirae (Balsam of Peru) - major contact allergen</t>
        </is>
      </c>
      <c r="AC50" s="14" t="inlineStr">
        <is>
          <t>research_only</t>
        </is>
      </c>
      <c r="AD50" s="38" t="inlineStr">
        <is>
          <t>Effectively a fragrance oil. 100ml $59</t>
        </is>
      </c>
      <c r="AE50" s="14" t="n">
        <v>5</v>
      </c>
    </row>
    <row r="51" ht="58" customHeight="1">
      <c r="A51" s="2" t="n">
        <v>1</v>
      </c>
      <c r="B51" s="3" t="inlineStr">
        <is>
          <t>Alitura</t>
        </is>
      </c>
      <c r="C51" s="3" t="inlineStr">
        <is>
          <t>The Microneedle Derma Roller</t>
        </is>
      </c>
      <c r="D51" s="3" t="inlineStr">
        <is>
          <t>Tool</t>
        </is>
      </c>
      <c r="E51" s="3" t="inlineStr">
        <is>
          <t>Device / Tool</t>
        </is>
      </c>
      <c r="F51" s="3" t="inlineStr">
        <is>
          <t>600 titanium microneedles</t>
        </is>
      </c>
      <c r="G51" s="3" t="inlineStr">
        <is>
          <t>Texture, product penetration, collagen support</t>
        </is>
      </c>
      <c r="H51" s="3" t="inlineStr">
        <is>
          <t>Resilient, non-inflamed skin</t>
        </is>
      </c>
      <c r="I51" s="3" t="inlineStr">
        <is>
          <t>As directed, not daily</t>
        </is>
      </c>
      <c r="J51" s="3" t="inlineStr">
        <is>
          <t>Avoid active acne, inflamed skin, poor hygiene, keloid tendency</t>
        </is>
      </c>
      <c r="K51" s="3" t="inlineStr">
        <is>
          <t>If user wants at-home treatment and skin is not inflamed, consider Derma Roller with caution</t>
        </is>
      </c>
      <c r="L51" s="3" t="inlineStr">
        <is>
          <t>Device</t>
        </is>
      </c>
      <c r="M51" s="3" t="inlineStr">
        <is>
          <t>Medium</t>
        </is>
      </c>
      <c r="N51" s="3" t="inlineStr">
        <is>
          <t>Official collection page</t>
        </is>
      </c>
      <c r="O51" s="4" t="inlineStr">
        <is>
          <t>https://alitura.com/collections/all</t>
        </is>
      </c>
      <c r="P51" s="3" t="inlineStr"/>
      <c r="Q51" s="32" t="n">
        <v>35</v>
      </c>
      <c r="R51" s="33" t="inlineStr">
        <is>
          <t>https://alitura.com</t>
        </is>
      </c>
      <c r="S51" s="34" t="inlineStr">
        <is>
          <t>2026-09-04</t>
        </is>
      </c>
      <c r="T51" s="41" t="inlineStr">
        <is>
          <t>Unknown</t>
        </is>
      </c>
      <c r="U51" s="42" t="inlineStr">
        <is>
          <t>Not checked</t>
        </is>
      </c>
      <c r="V51" s="43" t="inlineStr">
        <is>
          <t>NOT_PUBLISHED</t>
        </is>
      </c>
      <c r="W51" s="11" t="n"/>
      <c r="X51" s="11" t="n"/>
      <c r="Y51" s="17" t="inlineStr">
        <is>
          <t>CAUTION (provisional)</t>
        </is>
      </c>
      <c r="Z51" s="11" t="n"/>
      <c r="AA51" s="11" t="n"/>
      <c r="AB51" s="11" t="n"/>
      <c r="AC51" s="14" t="inlineStr">
        <is>
          <t>out_of_scope</t>
        </is>
      </c>
      <c r="AD51" s="39" t="inlineStr">
        <is>
          <t>OUT OF SCOPE for the topical catalog: device/tool. Identity-only research. | Device/tool — no INCI expected</t>
        </is>
      </c>
      <c r="AE51" s="14" t="inlineStr">
        <is>
          <t>skip</t>
        </is>
      </c>
    </row>
    <row r="52" ht="58" customHeight="1">
      <c r="A52" s="2" t="n">
        <v>1</v>
      </c>
      <c r="B52" s="3" t="inlineStr">
        <is>
          <t>Alitura</t>
        </is>
      </c>
      <c r="C52" s="3" t="inlineStr">
        <is>
          <t>The Clay Mask Travel Pack</t>
        </is>
      </c>
      <c r="D52" s="3" t="inlineStr">
        <is>
          <t>Travel Mask</t>
        </is>
      </c>
      <c r="E52" s="3" t="inlineStr">
        <is>
          <t>Mask / Travel</t>
        </is>
      </c>
      <c r="F52" s="3" t="inlineStr">
        <is>
          <t>4-hour grass-fed colostrum + 10% ascorbic acid</t>
        </is>
      </c>
      <c r="G52" s="3" t="inlineStr">
        <is>
          <t>Travel/event prep, dullness, congestion</t>
        </is>
      </c>
      <c r="H52" s="3" t="inlineStr">
        <is>
          <t>Normal, oily, combination</t>
        </is>
      </c>
      <c r="I52" s="3" t="inlineStr">
        <is>
          <t>Travel / weekly</t>
        </is>
      </c>
      <c r="J52" s="3" t="inlineStr">
        <is>
          <t>Same caution as Clay Mask</t>
        </is>
      </c>
      <c r="K52" s="3" t="inlineStr">
        <is>
          <t>Travel version of Clay Mask</t>
        </is>
      </c>
      <c r="L52" s="3" t="inlineStr">
        <is>
          <t>Travel mask</t>
        </is>
      </c>
      <c r="M52" s="3" t="inlineStr">
        <is>
          <t>Medium</t>
        </is>
      </c>
      <c r="N52" s="3" t="inlineStr">
        <is>
          <t>Official collection page</t>
        </is>
      </c>
      <c r="O52" s="4" t="inlineStr">
        <is>
          <t>https://alitura.com/collections/all</t>
        </is>
      </c>
      <c r="P52" s="3" t="inlineStr"/>
      <c r="Q52" s="32" t="n">
        <v>35</v>
      </c>
      <c r="R52" s="33" t="inlineStr">
        <is>
          <t>https://alitura.com</t>
        </is>
      </c>
      <c r="S52" s="34" t="inlineStr">
        <is>
          <t>2026-09-04</t>
        </is>
      </c>
      <c r="T52" s="41" t="inlineStr">
        <is>
          <t>Unknown</t>
        </is>
      </c>
      <c r="U52" s="42" t="inlineStr">
        <is>
          <t>Not checked</t>
        </is>
      </c>
      <c r="V52" s="43" t="inlineStr">
        <is>
          <t>NOT_PUBLISHED</t>
        </is>
      </c>
      <c r="W52" s="11" t="n"/>
      <c r="X52" s="11" t="n"/>
      <c r="Y52" s="13" t="inlineStr">
        <is>
          <t>Not reviewed</t>
        </is>
      </c>
      <c r="Z52" s="11" t="n"/>
      <c r="AA52" s="11" t="n"/>
      <c r="AB52" s="11" t="n"/>
      <c r="AC52" s="14" t="inlineStr">
        <is>
          <t>research_only</t>
        </is>
      </c>
      <c r="AD52" s="38" t="inlineStr">
        <is>
          <t>No labeled ingredient list — marketing '9 in 1 Formula' prose only. Sold only as multipacks; no single-unit price</t>
        </is>
      </c>
      <c r="AE52" s="14" t="n">
        <v>5</v>
      </c>
    </row>
    <row r="53" ht="58" customHeight="1">
      <c r="A53" s="2" t="n">
        <v>1</v>
      </c>
      <c r="B53" s="3" t="inlineStr">
        <is>
          <t>Alitura</t>
        </is>
      </c>
      <c r="C53" s="3" t="inlineStr">
        <is>
          <t>The Gold Serum Travel Pack</t>
        </is>
      </c>
      <c r="D53" s="3" t="inlineStr">
        <is>
          <t>Travel Serum</t>
        </is>
      </c>
      <c r="E53" s="3" t="inlineStr">
        <is>
          <t>Serum / Travel</t>
        </is>
      </c>
      <c r="F53" s="3" t="inlineStr">
        <is>
          <t>95% organic + GHK-Cu + astaxanthin</t>
        </is>
      </c>
      <c r="G53" s="3" t="inlineStr">
        <is>
          <t>Travel antioxidant support, glow</t>
        </is>
      </c>
      <c r="H53" s="3" t="inlineStr">
        <is>
          <t>Normal, dry, mature</t>
        </is>
      </c>
      <c r="I53" s="3" t="inlineStr">
        <is>
          <t>Travel AM/PM</t>
        </is>
      </c>
      <c r="J53" s="3" t="inlineStr">
        <is>
          <t>Patch test</t>
        </is>
      </c>
      <c r="K53" s="3" t="inlineStr">
        <is>
          <t>Travel version of Gold Serum</t>
        </is>
      </c>
      <c r="L53" s="3" t="inlineStr">
        <is>
          <t>Travel serum</t>
        </is>
      </c>
      <c r="M53" s="3" t="inlineStr">
        <is>
          <t>Medium</t>
        </is>
      </c>
      <c r="N53" s="3" t="inlineStr">
        <is>
          <t>Official collection page</t>
        </is>
      </c>
      <c r="O53" s="4" t="inlineStr">
        <is>
          <t>https://alitura.com/collections/all</t>
        </is>
      </c>
      <c r="P53" s="3" t="inlineStr"/>
      <c r="Q53" s="32" t="n">
        <v>72</v>
      </c>
      <c r="R53" s="33" t="inlineStr">
        <is>
          <t>https://alitura.com</t>
        </is>
      </c>
      <c r="S53" s="34" t="inlineStr">
        <is>
          <t>2026-09-04</t>
        </is>
      </c>
      <c r="T53" s="35" t="inlineStr">
        <is>
          <t>No</t>
        </is>
      </c>
      <c r="U53" s="34" t="inlineStr">
        <is>
          <t>Full INCI checked</t>
        </is>
      </c>
      <c r="V53" s="36" t="inlineStr">
        <is>
          <t>Organic Jojoba Oil, Organic Olive Oil, Organic Witch Hazel, Organic Rose Water, Organic Rosehip Oil, Organic Hemp Seed Oil, Marine Collagen, Organic Hawaiian Beeswax, CoQ10, Organic Bee Propolis, Astaxanthin, Organic Medicago Sativa (Alfalfa) Extract, Copper Tripeptide-1, Organic Neroli Oil, Organic Rose Otto Essential Oil, Organic Australian Sandalwood Essential Oil, Organic Frankincense Essential Oil, Organic Carrot Seed Essential Oil</t>
        </is>
      </c>
      <c r="W53" s="33" t="inlineStr">
        <is>
          <t>https://alitura.com</t>
        </is>
      </c>
      <c r="X53" s="34" t="inlineStr">
        <is>
          <t>2026-09-04</t>
        </is>
      </c>
      <c r="Y53" s="13" t="inlineStr">
        <is>
          <t>Not reviewed</t>
        </is>
      </c>
      <c r="Z53" s="11" t="n"/>
      <c r="AA53" s="11" t="n"/>
      <c r="AB53" s="37" t="inlineStr">
        <is>
          <t>Fragrant botanicals/EO: Neroli; Rose Otto EO; Sandalwood EO; Frankincense EO; Carrot Seed EO; Rose Water</t>
        </is>
      </c>
      <c r="AC53" s="14" t="inlineStr">
        <is>
          <t>research_only</t>
        </is>
      </c>
      <c r="AD53" s="38" t="inlineStr">
        <is>
          <t>Common-name list, not strict INCI. Only variant is 15ml 2-pack $72</t>
        </is>
      </c>
      <c r="AE53" s="14" t="n">
        <v>5</v>
      </c>
    </row>
    <row r="54" ht="58" customHeight="1">
      <c r="A54" s="2" t="n">
        <v>1</v>
      </c>
      <c r="B54" s="3" t="inlineStr">
        <is>
          <t>Alitura</t>
        </is>
      </c>
      <c r="C54" s="3" t="inlineStr">
        <is>
          <t>The Night Cream Travel Pack</t>
        </is>
      </c>
      <c r="D54" s="3" t="inlineStr">
        <is>
          <t>Travel Night Cream</t>
        </is>
      </c>
      <c r="E54" s="3" t="inlineStr">
        <is>
          <t>Moisturizer / Travel</t>
        </is>
      </c>
      <c r="F54" s="3" t="inlineStr">
        <is>
          <t>Edelweiss &amp; gardenia stem cells + hyaluronic acid</t>
        </is>
      </c>
      <c r="G54" s="3" t="inlineStr">
        <is>
          <t>Travel dryness, PM repair</t>
        </is>
      </c>
      <c r="H54" s="3" t="inlineStr">
        <is>
          <t>Dry, normal, mature</t>
        </is>
      </c>
      <c r="I54" s="3" t="inlineStr">
        <is>
          <t>Travel PM</t>
        </is>
      </c>
      <c r="J54" s="3" t="inlineStr">
        <is>
          <t>Patch test</t>
        </is>
      </c>
      <c r="K54" s="3" t="inlineStr">
        <is>
          <t>Travel version of Night Cream</t>
        </is>
      </c>
      <c r="L54" s="3" t="inlineStr">
        <is>
          <t>Travel moisturizer</t>
        </is>
      </c>
      <c r="M54" s="3" t="inlineStr">
        <is>
          <t>Medium</t>
        </is>
      </c>
      <c r="N54" s="3" t="inlineStr">
        <is>
          <t>Official collection page</t>
        </is>
      </c>
      <c r="O54" s="4" t="inlineStr">
        <is>
          <t>https://alitura.com/collections/all</t>
        </is>
      </c>
      <c r="P54" s="3" t="inlineStr"/>
      <c r="Q54" s="32" t="n">
        <v>65</v>
      </c>
      <c r="R54" s="33" t="inlineStr">
        <is>
          <t>https://alitura.com</t>
        </is>
      </c>
      <c r="S54" s="34" t="inlineStr">
        <is>
          <t>2026-09-04</t>
        </is>
      </c>
      <c r="T54" s="35" t="inlineStr">
        <is>
          <t>No</t>
        </is>
      </c>
      <c r="U54" s="34" t="inlineStr">
        <is>
          <t>Full INCI checked</t>
        </is>
      </c>
      <c r="V54" s="36" t="inlineStr">
        <is>
          <t>Extra Virgin Olive Oil, Helichrysum Hydrosol, Hawaiian Beeswax, Pracaxi/Acai Oil blend, 10% Hyaluronic Acid, Andiroba Oil, Leuconostoc/Radish Root Ferment Filtrate, Lactobacillus, Cocos Nucifera Fruit Extract, Buriti Oil, Raw Manuka Honey, Cacao Butter, Rose Hip Seed Oil, Royal Jelly, Edelweiss Stem Cells, Gardenia Stem Cells, Colostrum, CoQ10, Red Clover Extract, Chaga Mushroom Extract, Chlorella Extract, Camu Camu Extract, Schizandra Extract, Essential Oils (German Blue Chamomile, Madagascar Vanilla, Neroli, Lemon, Sea Buckthorn, Geranium)</t>
        </is>
      </c>
      <c r="W54" s="33" t="inlineStr">
        <is>
          <t>https://alitura.com</t>
        </is>
      </c>
      <c r="X54" s="34" t="inlineStr">
        <is>
          <t>2026-09-04</t>
        </is>
      </c>
      <c r="Y54" s="13" t="inlineStr">
        <is>
          <t>Not reviewed</t>
        </is>
      </c>
      <c r="Z54" s="11" t="n"/>
      <c r="AA54" s="11" t="n"/>
      <c r="AB54" s="37" t="inlineStr">
        <is>
          <t>Fragrant botanicals/EO: German Blue Chamomile; Vanilla; Neroli; Lemon; Sea Buckthorn; Geranium EOs; Helichrysum</t>
        </is>
      </c>
      <c r="AC54" s="14" t="inlineStr">
        <is>
          <t>research_only</t>
        </is>
      </c>
      <c r="AD54" s="38" t="inlineStr">
        <is>
          <t>Only variant is 10ml 2-pack $65</t>
        </is>
      </c>
      <c r="AE54" s="14" t="n">
        <v>5</v>
      </c>
    </row>
    <row r="55" ht="58" customHeight="1">
      <c r="A55" s="2" t="n">
        <v>1</v>
      </c>
      <c r="B55" s="3" t="inlineStr">
        <is>
          <t>Alitura</t>
        </is>
      </c>
      <c r="C55" s="3" t="inlineStr">
        <is>
          <t>The Body Lotion Travel Pack</t>
        </is>
      </c>
      <c r="D55" s="3" t="inlineStr">
        <is>
          <t>Travel Body Lotion</t>
        </is>
      </c>
      <c r="E55" s="3" t="inlineStr">
        <is>
          <t>Body / Travel</t>
        </is>
      </c>
      <c r="F55" s="3" t="inlineStr">
        <is>
          <t>Organic Brazilian acai butter + organic ylang-ylang</t>
        </is>
      </c>
      <c r="G55" s="3" t="inlineStr">
        <is>
          <t>Travel body dryness</t>
        </is>
      </c>
      <c r="H55" s="3" t="inlineStr">
        <is>
          <t>Dry, normal</t>
        </is>
      </c>
      <c r="I55" s="3" t="inlineStr">
        <is>
          <t>Travel daily</t>
        </is>
      </c>
      <c r="J55" s="3" t="inlineStr">
        <is>
          <t>Caution fragrance sensitivity</t>
        </is>
      </c>
      <c r="K55" s="3" t="inlineStr">
        <is>
          <t>Travel version of Body Lotion</t>
        </is>
      </c>
      <c r="L55" s="3" t="inlineStr">
        <is>
          <t>Travel body care</t>
        </is>
      </c>
      <c r="M55" s="3" t="inlineStr">
        <is>
          <t>Medium</t>
        </is>
      </c>
      <c r="N55" s="3" t="inlineStr">
        <is>
          <t>Official collection page</t>
        </is>
      </c>
      <c r="O55" s="4" t="inlineStr">
        <is>
          <t>https://alitura.com/collections/all</t>
        </is>
      </c>
      <c r="P55" s="3" t="inlineStr"/>
      <c r="Q55" s="11" t="n"/>
      <c r="R55" s="33" t="inlineStr">
        <is>
          <t>https://alitura.com</t>
        </is>
      </c>
      <c r="S55" s="11" t="n"/>
      <c r="T55" s="41" t="inlineStr">
        <is>
          <t>Unknown</t>
        </is>
      </c>
      <c r="U55" s="42" t="inlineStr">
        <is>
          <t>Not checked</t>
        </is>
      </c>
      <c r="V55" s="43" t="inlineStr">
        <is>
          <t>NOT_FOUND</t>
        </is>
      </c>
      <c r="W55" s="11" t="n"/>
      <c r="X55" s="11" t="n"/>
      <c r="Y55" s="13" t="inlineStr">
        <is>
          <t>Not reviewed</t>
        </is>
      </c>
      <c r="Z55" s="11" t="n"/>
      <c r="AA55" s="11" t="n"/>
      <c r="AB55" s="11" t="n"/>
      <c r="AC55" s="14" t="inlineStr">
        <is>
          <t>blocked</t>
        </is>
      </c>
      <c r="AD55" s="39" t="inlineStr">
        <is>
          <t>DOES NOT EXIST AS NAMED (Phase 9F): absent from the live Alitura catalogue. Do not substitute a near neighbour — re-identify or drop the row. | CONFIRMED ABSENT 2026-09-04: all plausible handles 404; full 38-product feed shows only clay mask, gold serum and night cream travel packs. Re-identify or drop the row</t>
        </is>
      </c>
      <c r="AE55" s="14" t="inlineStr">
        <is>
          <t>skip</t>
        </is>
      </c>
    </row>
    <row r="56" ht="58" customHeight="1">
      <c r="A56" s="2" t="n">
        <v>1</v>
      </c>
      <c r="B56" s="3" t="inlineStr">
        <is>
          <t>Alitura</t>
        </is>
      </c>
      <c r="C56" s="3" t="inlineStr">
        <is>
          <t>The Four Step Facial</t>
        </is>
      </c>
      <c r="D56" s="3" t="inlineStr">
        <is>
          <t>Bundle</t>
        </is>
      </c>
      <c r="E56" s="3" t="inlineStr">
        <is>
          <t>Cleanse, Exfoliate, Hydrate, Repair</t>
        </is>
      </c>
      <c r="F56" s="3" t="inlineStr">
        <is>
          <t>Four-step facial system</t>
        </is>
      </c>
      <c r="G56" s="3" t="inlineStr">
        <is>
          <t>Simple full-face routine, dullness, texture, hydration</t>
        </is>
      </c>
      <c r="H56" s="3" t="inlineStr">
        <is>
          <t>Normal, combination, dry</t>
        </is>
      </c>
      <c r="I56" s="3" t="inlineStr">
        <is>
          <t>System routine</t>
        </is>
      </c>
      <c r="J56" s="3" t="inlineStr">
        <is>
          <t>Introduce exfoliation gradually</t>
        </is>
      </c>
      <c r="K56" s="3" t="inlineStr">
        <is>
          <t>If user wants a complete Alitura routine, recommend Four Step Facial</t>
        </is>
      </c>
      <c r="L56" s="3" t="inlineStr">
        <is>
          <t>Bundle</t>
        </is>
      </c>
      <c r="M56" s="3" t="inlineStr">
        <is>
          <t>High</t>
        </is>
      </c>
      <c r="N56" s="3" t="inlineStr">
        <is>
          <t>Official collection page</t>
        </is>
      </c>
      <c r="O56" s="4" t="inlineStr">
        <is>
          <t>https://alitura.com/collections/all</t>
        </is>
      </c>
      <c r="P56" s="3" t="inlineStr"/>
      <c r="Q56" s="32" t="n">
        <v>279</v>
      </c>
      <c r="R56" s="33" t="inlineStr">
        <is>
          <t>https://alitura.com</t>
        </is>
      </c>
      <c r="S56" s="34" t="inlineStr">
        <is>
          <t>2026-09-04</t>
        </is>
      </c>
      <c r="T56" s="41" t="inlineStr">
        <is>
          <t>Unknown</t>
        </is>
      </c>
      <c r="U56" s="42" t="inlineStr">
        <is>
          <t>Not applicable - bundle</t>
        </is>
      </c>
      <c r="V56" s="44" t="inlineStr">
        <is>
          <t>BUNDLE</t>
        </is>
      </c>
      <c r="W56" s="11" t="n"/>
      <c r="X56" s="11" t="n"/>
      <c r="Y56" s="13" t="inlineStr">
        <is>
          <t>Not reviewed</t>
        </is>
      </c>
      <c r="Z56" s="11" t="n"/>
      <c r="AA56" s="11" t="n"/>
      <c r="AB56" s="11" t="n"/>
      <c r="AC56" s="14" t="inlineStr">
        <is>
          <t>research_only</t>
        </is>
      </c>
      <c r="AD56" s="38" t="inlineStr">
        <is>
          <t>Bundle</t>
        </is>
      </c>
      <c r="AE56" s="14" t="n">
        <v>4</v>
      </c>
    </row>
    <row r="57" ht="58" customHeight="1">
      <c r="A57" s="2" t="n">
        <v>1</v>
      </c>
      <c r="B57" s="3" t="inlineStr">
        <is>
          <t>Alitura</t>
        </is>
      </c>
      <c r="C57" s="3" t="inlineStr">
        <is>
          <t>The Perfect Duo</t>
        </is>
      </c>
      <c r="D57" s="3" t="inlineStr">
        <is>
          <t>Bundle</t>
        </is>
      </c>
      <c r="E57" s="3" t="inlineStr">
        <is>
          <t>Purify, Cleanse &amp; Hydrate</t>
        </is>
      </c>
      <c r="F57" s="3" t="inlineStr">
        <is>
          <t>Deeply purify, cleanse, and hydrate</t>
        </is>
      </c>
      <c r="G57" s="3" t="inlineStr">
        <is>
          <t>Starter routine, cleanser + hydration</t>
        </is>
      </c>
      <c r="H57" s="3" t="inlineStr">
        <is>
          <t>Normal, combination</t>
        </is>
      </c>
      <c r="I57" s="3" t="inlineStr">
        <is>
          <t>System routine</t>
        </is>
      </c>
      <c r="J57" s="3" t="inlineStr">
        <is>
          <t>Patch test</t>
        </is>
      </c>
      <c r="K57" s="3" t="inlineStr">
        <is>
          <t>If cleanser/hydration are main needs, recommend Perfect Duo</t>
        </is>
      </c>
      <c r="L57" s="3" t="inlineStr">
        <is>
          <t>Bundle</t>
        </is>
      </c>
      <c r="M57" s="3" t="inlineStr">
        <is>
          <t>High</t>
        </is>
      </c>
      <c r="N57" s="3" t="inlineStr">
        <is>
          <t>Official collection page</t>
        </is>
      </c>
      <c r="O57" s="4" t="inlineStr">
        <is>
          <t>https://alitura.com/collections/all</t>
        </is>
      </c>
      <c r="P57" s="3" t="inlineStr"/>
      <c r="Q57" s="32" t="n">
        <v>107</v>
      </c>
      <c r="R57" s="33" t="inlineStr">
        <is>
          <t>https://alitura.com</t>
        </is>
      </c>
      <c r="S57" s="34" t="inlineStr">
        <is>
          <t>2026-09-04</t>
        </is>
      </c>
      <c r="T57" s="41" t="inlineStr">
        <is>
          <t>Unknown</t>
        </is>
      </c>
      <c r="U57" s="42" t="inlineStr">
        <is>
          <t>Not applicable - bundle</t>
        </is>
      </c>
      <c r="V57" s="44" t="inlineStr">
        <is>
          <t>BUNDLE</t>
        </is>
      </c>
      <c r="W57" s="11" t="n"/>
      <c r="X57" s="11" t="n"/>
      <c r="Y57" s="13" t="inlineStr">
        <is>
          <t>Not reviewed</t>
        </is>
      </c>
      <c r="Z57" s="11" t="n"/>
      <c r="AA57" s="11" t="n"/>
      <c r="AB57" s="11" t="n"/>
      <c r="AC57" s="14" t="inlineStr">
        <is>
          <t>research_only</t>
        </is>
      </c>
      <c r="AD57" s="38" t="inlineStr">
        <is>
          <t>Bundle</t>
        </is>
      </c>
      <c r="AE57" s="14" t="n">
        <v>4</v>
      </c>
    </row>
    <row r="58" ht="58" customHeight="1">
      <c r="A58" s="2" t="n">
        <v>1</v>
      </c>
      <c r="B58" s="3" t="inlineStr">
        <is>
          <t>Alitura</t>
        </is>
      </c>
      <c r="C58" s="3" t="inlineStr">
        <is>
          <t>The Ultimate Starter Set</t>
        </is>
      </c>
      <c r="D58" s="3" t="inlineStr">
        <is>
          <t>Bundle</t>
        </is>
      </c>
      <c r="E58" s="3" t="inlineStr">
        <is>
          <t>Starter System</t>
        </is>
      </c>
      <c r="F58" s="3" t="inlineStr">
        <is>
          <t>Plant-powered trifecta of award-winning formulas</t>
        </is>
      </c>
      <c r="G58" s="3" t="inlineStr">
        <is>
          <t>Starter protocol, glow, hydration, texture</t>
        </is>
      </c>
      <c r="H58" s="3" t="inlineStr">
        <is>
          <t>Normal, dry, combination</t>
        </is>
      </c>
      <c r="I58" s="3" t="inlineStr">
        <is>
          <t>System routine</t>
        </is>
      </c>
      <c r="J58" s="3" t="inlineStr">
        <is>
          <t>Introduce one product at a time if sensitive</t>
        </is>
      </c>
      <c r="K58" s="3" t="inlineStr">
        <is>
          <t>If new user wants core Alitura, recommend Ultimate Starter Set</t>
        </is>
      </c>
      <c r="L58" s="3" t="inlineStr">
        <is>
          <t>Bundle</t>
        </is>
      </c>
      <c r="M58" s="3" t="inlineStr">
        <is>
          <t>High</t>
        </is>
      </c>
      <c r="N58" s="3" t="inlineStr">
        <is>
          <t>Official collection page</t>
        </is>
      </c>
      <c r="O58" s="4" t="inlineStr">
        <is>
          <t>https://alitura.com/collections/all</t>
        </is>
      </c>
      <c r="P58" s="3" t="inlineStr"/>
      <c r="Q58" s="32" t="n">
        <v>189</v>
      </c>
      <c r="R58" s="33" t="inlineStr">
        <is>
          <t>https://alitura.com</t>
        </is>
      </c>
      <c r="S58" s="34" t="inlineStr">
        <is>
          <t>2026-09-04</t>
        </is>
      </c>
      <c r="T58" s="41" t="inlineStr">
        <is>
          <t>Unknown</t>
        </is>
      </c>
      <c r="U58" s="42" t="inlineStr">
        <is>
          <t>Not applicable - bundle</t>
        </is>
      </c>
      <c r="V58" s="44" t="inlineStr">
        <is>
          <t>BUNDLE</t>
        </is>
      </c>
      <c r="W58" s="11" t="n"/>
      <c r="X58" s="11" t="n"/>
      <c r="Y58" s="13" t="inlineStr">
        <is>
          <t>Not reviewed</t>
        </is>
      </c>
      <c r="Z58" s="11" t="n"/>
      <c r="AA58" s="11" t="n"/>
      <c r="AB58" s="11" t="n"/>
      <c r="AC58" s="14" t="inlineStr">
        <is>
          <t>research_only</t>
        </is>
      </c>
      <c r="AD58" s="38" t="inlineStr">
        <is>
          <t>Bundle. URL handle is 'essentials-discovery-set'. A duplicate unlisted product exists at /products/the-ultimate-starter-set-copy, also $189</t>
        </is>
      </c>
      <c r="AE58" s="14" t="n">
        <v>4</v>
      </c>
    </row>
    <row r="59" ht="58" customHeight="1">
      <c r="A59" s="2" t="n">
        <v>1</v>
      </c>
      <c r="B59" s="3" t="inlineStr">
        <is>
          <t>Alitura</t>
        </is>
      </c>
      <c r="C59" s="3" t="inlineStr">
        <is>
          <t>The Instant Glow Kit</t>
        </is>
      </c>
      <c r="D59" s="3" t="inlineStr">
        <is>
          <t>Bundle</t>
        </is>
      </c>
      <c r="E59" s="3" t="inlineStr">
        <is>
          <t>Glow / Travel</t>
        </is>
      </c>
      <c r="F59" s="3" t="inlineStr">
        <is>
          <t>Glow on the go</t>
        </is>
      </c>
      <c r="G59" s="3" t="inlineStr">
        <is>
          <t>Event prep, dullness, radiance</t>
        </is>
      </c>
      <c r="H59" s="3" t="inlineStr">
        <is>
          <t>Normal, dry, combination</t>
        </is>
      </c>
      <c r="I59" s="3" t="inlineStr">
        <is>
          <t>Event / travel</t>
        </is>
      </c>
      <c r="J59" s="3" t="inlineStr">
        <is>
          <t>Patch test</t>
        </is>
      </c>
      <c r="K59" s="3" t="inlineStr">
        <is>
          <t>If radiance/event prep is priority, recommend Instant Glow Kit</t>
        </is>
      </c>
      <c r="L59" s="3" t="inlineStr">
        <is>
          <t>Bundle</t>
        </is>
      </c>
      <c r="M59" s="3" t="inlineStr">
        <is>
          <t>High</t>
        </is>
      </c>
      <c r="N59" s="3" t="inlineStr">
        <is>
          <t>Official collection page</t>
        </is>
      </c>
      <c r="O59" s="4" t="inlineStr">
        <is>
          <t>https://alitura.com/collections/all</t>
        </is>
      </c>
      <c r="P59" s="3" t="inlineStr"/>
      <c r="Q59" s="32" t="n">
        <v>165</v>
      </c>
      <c r="R59" s="33" t="inlineStr">
        <is>
          <t>https://alitura.com</t>
        </is>
      </c>
      <c r="S59" s="34" t="inlineStr">
        <is>
          <t>2026-09-04</t>
        </is>
      </c>
      <c r="T59" s="41" t="inlineStr">
        <is>
          <t>Unknown</t>
        </is>
      </c>
      <c r="U59" s="42" t="inlineStr">
        <is>
          <t>Not applicable - bundle</t>
        </is>
      </c>
      <c r="V59" s="44" t="inlineStr">
        <is>
          <t>BUNDLE</t>
        </is>
      </c>
      <c r="W59" s="11" t="n"/>
      <c r="X59" s="11" t="n"/>
      <c r="Y59" s="13" t="inlineStr">
        <is>
          <t>Not reviewed</t>
        </is>
      </c>
      <c r="Z59" s="11" t="n"/>
      <c r="AA59" s="11" t="n"/>
      <c r="AB59" s="11" t="n"/>
      <c r="AC59" s="14" t="inlineStr">
        <is>
          <t>research_only</t>
        </is>
      </c>
      <c r="AD59" s="38" t="inlineStr">
        <is>
          <t>Bundle incl. derma roller</t>
        </is>
      </c>
      <c r="AE59" s="14" t="n">
        <v>4</v>
      </c>
    </row>
    <row r="60" ht="58" customHeight="1">
      <c r="A60" s="2" t="n">
        <v>1</v>
      </c>
      <c r="B60" s="3" t="inlineStr">
        <is>
          <t>Alitura</t>
        </is>
      </c>
      <c r="C60" s="3" t="inlineStr">
        <is>
          <t>The At-Home Facial Kit</t>
        </is>
      </c>
      <c r="D60" s="3" t="inlineStr">
        <is>
          <t>Bundle</t>
        </is>
      </c>
      <c r="E60" s="3" t="inlineStr">
        <is>
          <t>At-Home Facial</t>
        </is>
      </c>
      <c r="F60" s="3" t="inlineStr">
        <is>
          <t>Professional back-bar treatment at home</t>
        </is>
      </c>
      <c r="G60" s="3" t="inlineStr">
        <is>
          <t>At-home facial, dullness, texture, congestion</t>
        </is>
      </c>
      <c r="H60" s="3" t="inlineStr">
        <is>
          <t>Normal, combination, oily</t>
        </is>
      </c>
      <c r="I60" s="3" t="inlineStr">
        <is>
          <t>Weekly / as directed</t>
        </is>
      </c>
      <c r="J60" s="3" t="inlineStr">
        <is>
          <t>Caution sensitive/reactive skin</t>
        </is>
      </c>
      <c r="K60" s="3" t="inlineStr">
        <is>
          <t>If user wants a full at-home treatment and sensitivity low, recommend At-Home Facial Kit</t>
        </is>
      </c>
      <c r="L60" s="3" t="inlineStr">
        <is>
          <t>Bundle</t>
        </is>
      </c>
      <c r="M60" s="3" t="inlineStr">
        <is>
          <t>High</t>
        </is>
      </c>
      <c r="N60" s="3" t="inlineStr">
        <is>
          <t>Official collection page</t>
        </is>
      </c>
      <c r="O60" s="4" t="inlineStr">
        <is>
          <t>https://alitura.com/collections/all</t>
        </is>
      </c>
      <c r="P60" s="3" t="inlineStr"/>
      <c r="Q60" s="32" t="n">
        <v>199</v>
      </c>
      <c r="R60" s="33" t="inlineStr">
        <is>
          <t>https://alitura.com</t>
        </is>
      </c>
      <c r="S60" s="34" t="inlineStr">
        <is>
          <t>2026-09-04</t>
        </is>
      </c>
      <c r="T60" s="41" t="inlineStr">
        <is>
          <t>Unknown</t>
        </is>
      </c>
      <c r="U60" s="42" t="inlineStr">
        <is>
          <t>Not applicable - bundle</t>
        </is>
      </c>
      <c r="V60" s="44" t="inlineStr">
        <is>
          <t>BUNDLE</t>
        </is>
      </c>
      <c r="W60" s="11" t="n"/>
      <c r="X60" s="11" t="n"/>
      <c r="Y60" s="13" t="inlineStr">
        <is>
          <t>Not reviewed</t>
        </is>
      </c>
      <c r="Z60" s="11" t="n"/>
      <c r="AA60" s="11" t="n"/>
      <c r="AB60" s="11" t="n"/>
      <c r="AC60" s="14" t="inlineStr">
        <is>
          <t>research_only</t>
        </is>
      </c>
      <c r="AD60" s="38" t="inlineStr">
        <is>
          <t>Bundle incl. derma roller</t>
        </is>
      </c>
      <c r="AE60" s="14" t="n">
        <v>4</v>
      </c>
    </row>
    <row r="61" ht="58" customHeight="1">
      <c r="A61" s="2" t="n">
        <v>1</v>
      </c>
      <c r="B61" s="3" t="inlineStr">
        <is>
          <t>Alitura</t>
        </is>
      </c>
      <c r="C61" s="3" t="inlineStr">
        <is>
          <t>The Essential Discovery Set</t>
        </is>
      </c>
      <c r="D61" s="3" t="inlineStr">
        <is>
          <t>Bundle</t>
        </is>
      </c>
      <c r="E61" s="3" t="inlineStr">
        <is>
          <t>Complete System</t>
        </is>
      </c>
      <c r="F61" s="3" t="inlineStr">
        <is>
          <t>Complete skincare system</t>
        </is>
      </c>
      <c r="G61" s="3" t="inlineStr">
        <is>
          <t>Full routine discovery, multiple concerns</t>
        </is>
      </c>
      <c r="H61" s="3" t="inlineStr">
        <is>
          <t>Normal, dry, combination</t>
        </is>
      </c>
      <c r="I61" s="3" t="inlineStr">
        <is>
          <t>System routine</t>
        </is>
      </c>
      <c r="J61" s="3" t="inlineStr">
        <is>
          <t>Introduce gradually</t>
        </is>
      </c>
      <c r="K61" s="3" t="inlineStr">
        <is>
          <t>If user wants full brand trial, recommend Essential Discovery Set</t>
        </is>
      </c>
      <c r="L61" s="3" t="inlineStr">
        <is>
          <t>Bundle</t>
        </is>
      </c>
      <c r="M61" s="3" t="inlineStr">
        <is>
          <t>High</t>
        </is>
      </c>
      <c r="N61" s="3" t="inlineStr">
        <is>
          <t>Official collection page</t>
        </is>
      </c>
      <c r="O61" s="4" t="inlineStr">
        <is>
          <t>https://alitura.com/collections/all</t>
        </is>
      </c>
      <c r="P61" s="3" t="inlineStr"/>
      <c r="Q61" s="32" t="n">
        <v>315</v>
      </c>
      <c r="R61" s="33" t="inlineStr">
        <is>
          <t>https://alitura.com</t>
        </is>
      </c>
      <c r="S61" s="34" t="inlineStr">
        <is>
          <t>2026-09-04</t>
        </is>
      </c>
      <c r="T61" s="41" t="inlineStr">
        <is>
          <t>Unknown</t>
        </is>
      </c>
      <c r="U61" s="42" t="inlineStr">
        <is>
          <t>Not applicable - bundle</t>
        </is>
      </c>
      <c r="V61" s="44" t="inlineStr">
        <is>
          <t>BUNDLE</t>
        </is>
      </c>
      <c r="W61" s="11" t="n"/>
      <c r="X61" s="11" t="n"/>
      <c r="Y61" s="13" t="inlineStr">
        <is>
          <t>Not reviewed</t>
        </is>
      </c>
      <c r="Z61" s="11" t="n"/>
      <c r="AA61" s="11" t="n"/>
      <c r="AB61" s="11" t="n"/>
      <c r="AC61" s="14" t="inlineStr">
        <is>
          <t>research_only</t>
        </is>
      </c>
      <c r="AD61" s="38" t="inlineStr">
        <is>
          <t>Bundle. URL handle is 'the-alitura-skincare-collection'</t>
        </is>
      </c>
      <c r="AE61" s="14" t="n">
        <v>4</v>
      </c>
    </row>
    <row r="62" ht="58" customHeight="1">
      <c r="A62" s="2" t="n">
        <v>1</v>
      </c>
      <c r="B62" s="3" t="inlineStr">
        <is>
          <t>Alitura</t>
        </is>
      </c>
      <c r="C62" s="3" t="inlineStr">
        <is>
          <t>Andy Hnilo Signature Shaving Kit</t>
        </is>
      </c>
      <c r="D62" s="3" t="inlineStr">
        <is>
          <t>Bundle</t>
        </is>
      </c>
      <c r="E62" s="3" t="inlineStr">
        <is>
          <t>Men’s / Shaving</t>
        </is>
      </c>
      <c r="F62" s="3" t="inlineStr">
        <is>
          <t>Shaving kit</t>
        </is>
      </c>
      <c r="G62" s="3" t="inlineStr">
        <is>
          <t>Men’s skincare, shaving irritation</t>
        </is>
      </c>
      <c r="H62" s="3" t="inlineStr">
        <is>
          <t>Men, shaving skin</t>
        </is>
      </c>
      <c r="I62" s="3" t="inlineStr">
        <is>
          <t>As directed</t>
        </is>
      </c>
      <c r="J62" s="3" t="inlineStr">
        <is>
          <t>Patch test</t>
        </is>
      </c>
      <c r="K62" s="3" t="inlineStr">
        <is>
          <t>If shaving irritation or men’s routine requested, recommend Shaving Kit</t>
        </is>
      </c>
      <c r="L62" s="3" t="inlineStr">
        <is>
          <t>Bundle</t>
        </is>
      </c>
      <c r="M62" s="3" t="inlineStr">
        <is>
          <t>Medium</t>
        </is>
      </c>
      <c r="N62" s="3" t="inlineStr">
        <is>
          <t>Official collection page</t>
        </is>
      </c>
      <c r="O62" s="4" t="inlineStr">
        <is>
          <t>https://alitura.com/collections/all</t>
        </is>
      </c>
      <c r="P62" s="3" t="inlineStr"/>
      <c r="Q62" s="32" t="n">
        <v>177</v>
      </c>
      <c r="R62" s="33" t="inlineStr">
        <is>
          <t>https://alitura.com</t>
        </is>
      </c>
      <c r="S62" s="34" t="inlineStr">
        <is>
          <t>2026-09-04</t>
        </is>
      </c>
      <c r="T62" s="41" t="inlineStr">
        <is>
          <t>Unknown</t>
        </is>
      </c>
      <c r="U62" s="42" t="inlineStr">
        <is>
          <t>Not applicable - bundle</t>
        </is>
      </c>
      <c r="V62" s="44" t="inlineStr">
        <is>
          <t>BUNDLE</t>
        </is>
      </c>
      <c r="W62" s="11" t="n"/>
      <c r="X62" s="11" t="n"/>
      <c r="Y62" s="13" t="inlineStr">
        <is>
          <t>Not reviewed</t>
        </is>
      </c>
      <c r="Z62" s="11" t="n"/>
      <c r="AA62" s="11" t="n"/>
      <c r="AB62" s="11" t="n"/>
      <c r="AC62" s="14" t="inlineStr">
        <is>
          <t>research_only</t>
        </is>
      </c>
      <c r="AD62" s="38" t="inlineStr">
        <is>
          <t>Bundle. Finish variants all $177</t>
        </is>
      </c>
      <c r="AE62" s="14" t="n">
        <v>2</v>
      </c>
    </row>
    <row r="63" ht="58" customHeight="1">
      <c r="A63" s="3" t="n">
        <v>2</v>
      </c>
      <c r="B63" s="3" t="inlineStr">
        <is>
          <t>OneSkin</t>
        </is>
      </c>
      <c r="C63" s="3" t="inlineStr">
        <is>
          <t>OS-01 FACE</t>
        </is>
      </c>
      <c r="D63" s="3" t="inlineStr">
        <is>
          <t>Topical supplement / moisturizer</t>
        </is>
      </c>
      <c r="E63" s="3" t="inlineStr">
        <is>
          <t>Other Verified / To Expand</t>
        </is>
      </c>
      <c r="F63" s="3" t="inlineStr">
        <is>
          <t>OS-01 peptide positioning</t>
        </is>
      </c>
      <c r="G63" s="3" t="inlineStr">
        <is>
          <t>Skin aging, barrier, hydration</t>
        </is>
      </c>
      <c r="H63" s="3" t="inlineStr">
        <is>
          <t>Depends on product</t>
        </is>
      </c>
      <c r="I63" s="3" t="inlineStr">
        <is>
          <t>Per label</t>
        </is>
      </c>
      <c r="J63" s="3" t="inlineStr">
        <is>
          <t>Verify contraindications and ingredient list before recommendation</t>
        </is>
      </c>
      <c r="K63" s="3" t="inlineStr">
        <is>
          <t>Use only when category matches skin finding and product is in verified DB</t>
        </is>
      </c>
      <c r="L63" s="3" t="inlineStr">
        <is>
          <t>Varies</t>
        </is>
      </c>
      <c r="M63" s="3" t="inlineStr">
        <is>
          <t>Medium-High</t>
        </is>
      </c>
      <c r="N63" s="3" t="inlineStr">
        <is>
          <t>Needs product-page verification before app launch</t>
        </is>
      </c>
      <c r="O63" s="4" t="inlineStr">
        <is>
          <t>https://www.oneskin.co</t>
        </is>
      </c>
      <c r="P63" s="3" t="inlineStr">
        <is>
          <t>Added as secondary expansion brand/product; confirm exact ingredient panel before using in production.</t>
        </is>
      </c>
      <c r="Q63" s="32" t="n">
        <v>117</v>
      </c>
      <c r="R63" s="33" t="inlineStr">
        <is>
          <t>https://www.oneskin.co</t>
        </is>
      </c>
      <c r="S63" s="34" t="inlineStr">
        <is>
          <t>2026-09-04</t>
        </is>
      </c>
      <c r="T63" s="40" t="inlineStr">
        <is>
          <t>Yes</t>
        </is>
      </c>
      <c r="U63" s="34" t="inlineStr">
        <is>
          <t>Full INCI checked</t>
        </is>
      </c>
      <c r="V63" s="36" t="inlineStr">
        <is>
          <t>Water, Glycerin, Sorbitan Olivate, Helianthus Annuus (Sunflower) Seed Oil, Squalane, Cetearyl Olivate, Carapa Guianensis Seed Oil, Vitis Vinifera (Grape) Seed Oil, Pentaclethra Macroloba Seed Oil, Rosa Canina Fruit Oil, Prunus Domestica Seed Oil, Calycophyllum Spruceanum Bark Extract, Caprylhydroxamic Acid, Glyceryl Caprylate, Decapeptide-52 (OS-01), Hyaluronic Acid, Sodium Hyaluronate, Sodium Hyaluronate Crosspolymer, Niacinamide, Allantoin, Bentonite, Tocopheryl Acetate, Cellulose, Cetyl Palmitate, Sorbitan Palmitate, Xanthan Gum, Potassium Sorbate, Phenoxyethanol, Sorbic Acid, Caprylyl Glycol, Tetrasodium Glutamate Diacetate</t>
        </is>
      </c>
      <c r="W63" s="33" t="inlineStr">
        <is>
          <t>https://www.oneskin.co</t>
        </is>
      </c>
      <c r="X63" s="34" t="inlineStr">
        <is>
          <t>2026-09-04</t>
        </is>
      </c>
      <c r="Y63" s="13" t="inlineStr">
        <is>
          <t>Not reviewed</t>
        </is>
      </c>
      <c r="Z63" s="11" t="n"/>
      <c r="AA63" s="11" t="n"/>
      <c r="AB63" s="11" t="n"/>
      <c r="AC63" s="14" t="inlineStr">
        <is>
          <t>research_only</t>
        </is>
      </c>
      <c r="AD63" s="38" t="inlineStr">
        <is>
          <t>Needs product-page verification before app launch. | Page states 'Formulated without fragrance'. One-time $117 / subscribe $100</t>
        </is>
      </c>
      <c r="AE63" s="14" t="n">
        <v>4</v>
      </c>
    </row>
    <row r="64" ht="58" customHeight="1">
      <c r="A64" s="3" t="n">
        <v>2</v>
      </c>
      <c r="B64" s="3" t="inlineStr">
        <is>
          <t>OneSkin</t>
        </is>
      </c>
      <c r="C64" s="3" t="inlineStr">
        <is>
          <t>OS-01 EYE</t>
        </is>
      </c>
      <c r="D64" s="3" t="inlineStr">
        <is>
          <t>Eye cream</t>
        </is>
      </c>
      <c r="E64" s="3" t="inlineStr">
        <is>
          <t>Other Verified / To Expand</t>
        </is>
      </c>
      <c r="F64" s="3" t="inlineStr">
        <is>
          <t>OS-01 peptide positioning</t>
        </is>
      </c>
      <c r="G64" s="3" t="inlineStr">
        <is>
          <t>Eye lines, crepiness, under-eye aging</t>
        </is>
      </c>
      <c r="H64" s="3" t="inlineStr">
        <is>
          <t>Depends on product</t>
        </is>
      </c>
      <c r="I64" s="3" t="inlineStr">
        <is>
          <t>Per label</t>
        </is>
      </c>
      <c r="J64" s="3" t="inlineStr">
        <is>
          <t>Verify contraindications and ingredient list before recommendation</t>
        </is>
      </c>
      <c r="K64" s="3" t="inlineStr">
        <is>
          <t>Use only when category matches skin finding and product is in verified DB</t>
        </is>
      </c>
      <c r="L64" s="3" t="inlineStr">
        <is>
          <t>Varies</t>
        </is>
      </c>
      <c r="M64" s="3" t="inlineStr">
        <is>
          <t>Medium-High</t>
        </is>
      </c>
      <c r="N64" s="3" t="inlineStr">
        <is>
          <t>Needs product-page verification before app launch</t>
        </is>
      </c>
      <c r="O64" s="4" t="inlineStr">
        <is>
          <t>https://www.oneskin.co</t>
        </is>
      </c>
      <c r="P64" s="3" t="inlineStr">
        <is>
          <t>Added as secondary expansion brand/product; confirm exact ingredient panel before using in production.</t>
        </is>
      </c>
      <c r="Q64" s="32" t="n">
        <v>109</v>
      </c>
      <c r="R64" s="33" t="inlineStr">
        <is>
          <t>https://www.oneskin.co</t>
        </is>
      </c>
      <c r="S64" s="34" t="inlineStr">
        <is>
          <t>2026-09-04</t>
        </is>
      </c>
      <c r="T64" s="40" t="inlineStr">
        <is>
          <t>Yes</t>
        </is>
      </c>
      <c r="U64" s="34" t="inlineStr">
        <is>
          <t>Full INCI checked</t>
        </is>
      </c>
      <c r="V64" s="36" t="inlineStr">
        <is>
          <t>Water, Glycerin, Sorbitan Olivate, Squalane, Cetearyl Olivate, Butyrospermum Parkii (Shea) Butter, Simmondsia Chinensis (Jojoba) Seed Oil, Cystoseira Humilis Extract, d-Panthenol, Bentonite, Cetyl Palmitate, Sodium Hyaluronate Crosspolymer, Caprylhydroxamic Acid, Sorbitan Palmitate, Cellulose, Coffea Arabica Seedcake Extract, Allantoin, Fucus Vesiculosus Extract, Gluconolactone, Niacinamide, sh-Polypeptide-121, Sisymbrium Irio Seed Oil, Tocopheryl Acetate, Sorbic Acid, Caprylic/Capric Triglyceride, Ubiquinone, Lecithin, Decapeptide-52 (OS-01), Sodium Chloride, Maltodextrin, Acetyl Hexapeptide-8, Moringa Oleifera Seed Extract, Glyceryl Caprylate, Caprylyl Glycol, Tetrasodium Glutamate Diacetate, Alcohol, Sodium Benzoate, Phenoxyethanol, Xanthan Gum</t>
        </is>
      </c>
      <c r="W64" s="33" t="inlineStr">
        <is>
          <t>https://www.oneskin.co</t>
        </is>
      </c>
      <c r="X64" s="34" t="inlineStr">
        <is>
          <t>2026-09-04</t>
        </is>
      </c>
      <c r="Y64" s="13" t="inlineStr">
        <is>
          <t>Not reviewed</t>
        </is>
      </c>
      <c r="Z64" s="11" t="n"/>
      <c r="AA64" s="11" t="n"/>
      <c r="AB64" s="11" t="n"/>
      <c r="AC64" s="14" t="inlineStr">
        <is>
          <t>research_only</t>
        </is>
      </c>
      <c r="AD64" s="38" t="inlineStr">
        <is>
          <t>Needs product-page verification before app launch. | 'Fragrance Free' badge on page. 20 mL. Contains Alcohol</t>
        </is>
      </c>
      <c r="AE64" s="14" t="n">
        <v>4</v>
      </c>
    </row>
    <row r="65" ht="58" customHeight="1">
      <c r="A65" s="3" t="n">
        <v>2</v>
      </c>
      <c r="B65" s="3" t="inlineStr">
        <is>
          <t>OneSkin</t>
        </is>
      </c>
      <c r="C65" s="3" t="inlineStr">
        <is>
          <t>OS-01 BODY</t>
        </is>
      </c>
      <c r="D65" s="3" t="inlineStr">
        <is>
          <t>Body topical</t>
        </is>
      </c>
      <c r="E65" s="3" t="inlineStr">
        <is>
          <t>Other Verified / To Expand</t>
        </is>
      </c>
      <c r="F65" s="3" t="inlineStr">
        <is>
          <t>OS-01 peptide positioning</t>
        </is>
      </c>
      <c r="G65" s="3" t="inlineStr">
        <is>
          <t>Body aging, crepey skin</t>
        </is>
      </c>
      <c r="H65" s="3" t="inlineStr">
        <is>
          <t>Depends on product</t>
        </is>
      </c>
      <c r="I65" s="3" t="inlineStr">
        <is>
          <t>Per label</t>
        </is>
      </c>
      <c r="J65" s="3" t="inlineStr">
        <is>
          <t>Verify contraindications and ingredient list before recommendation</t>
        </is>
      </c>
      <c r="K65" s="3" t="inlineStr">
        <is>
          <t>Use only when category matches skin finding and product is in verified DB</t>
        </is>
      </c>
      <c r="L65" s="3" t="inlineStr">
        <is>
          <t>Varies</t>
        </is>
      </c>
      <c r="M65" s="3" t="inlineStr">
        <is>
          <t>Medium-High</t>
        </is>
      </c>
      <c r="N65" s="3" t="inlineStr">
        <is>
          <t>Needs product-page verification before app launch</t>
        </is>
      </c>
      <c r="O65" s="4" t="inlineStr">
        <is>
          <t>https://www.oneskin.co</t>
        </is>
      </c>
      <c r="P65" s="3" t="inlineStr">
        <is>
          <t>Added as secondary expansion brand/product; confirm exact ingredient panel before using in production.</t>
        </is>
      </c>
      <c r="Q65" s="32" t="n">
        <v>105</v>
      </c>
      <c r="R65" s="33" t="inlineStr">
        <is>
          <t>https://www.oneskin.co</t>
        </is>
      </c>
      <c r="S65" s="34" t="inlineStr">
        <is>
          <t>2026-09-04</t>
        </is>
      </c>
      <c r="T65" s="40" t="inlineStr">
        <is>
          <t>Yes</t>
        </is>
      </c>
      <c r="U65" s="34" t="inlineStr">
        <is>
          <t>Full INCI checked</t>
        </is>
      </c>
      <c r="V65" s="36" t="inlineStr">
        <is>
          <t>Water, Glycerin, Limnanthes Alba (Meadowfoam) Seed Oil, Sorbitan Olivate, Squalane, Avena Sativa (Oat) Kernel Oil, Prunus Domestica Seed Oil, Cetearyl Olivate, Mangifera Indica (Mango) Seed Butter, Saccharide Isomerate, Panthenol, Tremella Fuciformis Sporocarp Extract, Tocopheryl Acetate, Decapeptide-52 (OS-01), Allantoin, Asiaticoside, Centella Asiatica Extract, Sodium Hyaluronate Crosspolymer, Ceramide NG, Galactoarabinan, Lepidium Sativum Sprout Extract, Soy Isoflavones, Niacinamide, Betaine, Bentonite, Cetyl Palmitate, Sorbitan Palmitate, Lecithin, Xanthan Gum, Polyglyceryl-10 Laurate, Polyglyceryl-6 Oleate, Sorbitan Oleate, Glyceryl Caprylate, Polysorbate 80, Alcohol, Caprylyl Glycol, Sorbic Acid, Caprylhydroxamic Acid, Tetrasodium Glutamate Diacetate, Phenoxyethanol</t>
        </is>
      </c>
      <c r="W65" s="33" t="inlineStr">
        <is>
          <t>https://www.oneskin.co</t>
        </is>
      </c>
      <c r="X65" s="34" t="inlineStr">
        <is>
          <t>2026-09-04</t>
        </is>
      </c>
      <c r="Y65" s="13" t="inlineStr">
        <is>
          <t>Not reviewed</t>
        </is>
      </c>
      <c r="Z65" s="11" t="n"/>
      <c r="AA65" s="11" t="n"/>
      <c r="AB65" s="11" t="n"/>
      <c r="AC65" s="14" t="inlineStr">
        <is>
          <t>research_only</t>
        </is>
      </c>
      <c r="AD65" s="38" t="inlineStr">
        <is>
          <t>Needs product-page verification before app launch. | 'Fragrance Free' badge. 250 mL. Contains Alcohol</t>
        </is>
      </c>
      <c r="AE65" s="14" t="n">
        <v>4</v>
      </c>
    </row>
    <row r="66" ht="58" customHeight="1">
      <c r="A66" s="3" t="n">
        <v>2</v>
      </c>
      <c r="B66" s="3" t="inlineStr">
        <is>
          <t>OneSkin</t>
        </is>
      </c>
      <c r="C66" s="3" t="inlineStr">
        <is>
          <t>OS-01 BODY SPF</t>
        </is>
      </c>
      <c r="D66" s="3" t="inlineStr">
        <is>
          <t>Body SPF</t>
        </is>
      </c>
      <c r="E66" s="3" t="inlineStr">
        <is>
          <t>Other Verified / To Expand</t>
        </is>
      </c>
      <c r="F66" s="3" t="inlineStr">
        <is>
          <t>OS-01 + SPF positioning</t>
        </is>
      </c>
      <c r="G66" s="3" t="inlineStr">
        <is>
          <t>Daily body sun protection</t>
        </is>
      </c>
      <c r="H66" s="3" t="inlineStr">
        <is>
          <t>Depends on product</t>
        </is>
      </c>
      <c r="I66" s="3" t="inlineStr">
        <is>
          <t>Per label</t>
        </is>
      </c>
      <c r="J66" s="3" t="inlineStr">
        <is>
          <t>Verify contraindications and ingredient list before recommendation</t>
        </is>
      </c>
      <c r="K66" s="3" t="inlineStr">
        <is>
          <t>Use only when category matches skin finding and product is in verified DB</t>
        </is>
      </c>
      <c r="L66" s="3" t="inlineStr">
        <is>
          <t>Varies</t>
        </is>
      </c>
      <c r="M66" s="3" t="inlineStr">
        <is>
          <t>Medium-High</t>
        </is>
      </c>
      <c r="N66" s="3" t="inlineStr">
        <is>
          <t>Needs product-page verification before app launch</t>
        </is>
      </c>
      <c r="O66" s="4" t="inlineStr">
        <is>
          <t>https://www.oneskin.co</t>
        </is>
      </c>
      <c r="P66" s="3" t="inlineStr">
        <is>
          <t>Added as secondary expansion brand/product; confirm exact ingredient panel before using in production.</t>
        </is>
      </c>
      <c r="Q66" s="32" t="n">
        <v>57</v>
      </c>
      <c r="R66" s="33" t="inlineStr">
        <is>
          <t>https://www.oneskin.co</t>
        </is>
      </c>
      <c r="S66" s="34" t="inlineStr">
        <is>
          <t>2026-09-04</t>
        </is>
      </c>
      <c r="T66" s="40" t="inlineStr">
        <is>
          <t>Yes</t>
        </is>
      </c>
      <c r="U66" s="34" t="inlineStr">
        <is>
          <t>Full INCI checked</t>
        </is>
      </c>
      <c r="V66" s="36" t="inlineStr">
        <is>
          <t>ACTIVE: Zinc Oxide 14%. INACTIVE: Caprylic/Capric Triglyceride, Butyloctyl Salicylate, C13-15 Alkane, Stearalkonium Hectorite, Coconut Alkanes, Euphorbia Cerifera (Candelilla) Wax, Helianthus Annuus Seed Wax, Propylene Carbonate, Quaternium-90 Bentonite, Butyrospermum Parkii Nut Extract, Decapeptide-52 (OS-01), Camellia Oleifera Seed Oil, Caesalpinia Spinosa Fruit Pod Extract, Helianthus Annuus Sprout Extract, Aloe Barbadensis Leaf Extract, Carthamus Tinctorius Seed Oil, Lactobacillus/Acerola Cherry Ferment, Coco-Caprylate/Caprate, Ceramide NP, Ceramide AP, Ceramide EOP, Ethylhexylglycerin, Caprylyl Glycol, Hexylene Glycol, Polyhydroxystearic Acid, Polyglyceryl-3 Polyricinoleate, Isostearic Acid, Lecithin, Phytosphingosine, Cholesterol, Sodium Lauroyl Lactylate, Carbomer, Xanthan Gum, Water, Propylene Glycol, Triethyl Citrate, Citric Acid, Sodium Benzoate, Phenoxyethanol</t>
        </is>
      </c>
      <c r="W66" s="33" t="inlineStr">
        <is>
          <t>https://www.oneskin.co</t>
        </is>
      </c>
      <c r="X66" s="34" t="inlineStr">
        <is>
          <t>2026-09-04</t>
        </is>
      </c>
      <c r="Y66" s="13" t="inlineStr">
        <is>
          <t>Not reviewed</t>
        </is>
      </c>
      <c r="Z66" s="11" t="n"/>
      <c r="AA66" s="11" t="n"/>
      <c r="AB66" s="11" t="n"/>
      <c r="AC66" s="14" t="inlineStr">
        <is>
          <t>research_only</t>
        </is>
      </c>
      <c r="AD66" s="38" t="inlineStr">
        <is>
          <t>Needs product-page verification before app launch. | SPF 30, NOT SPF 45. FULL OTC COMPLIANCE CONFIRMED: Drug Facts panel present, zinc 14% + Purpose stated, warnings present, broad-spectrum statement present. Best-documented sunscreen in the database</t>
        </is>
      </c>
      <c r="AE66" s="14" t="n">
        <v>4</v>
      </c>
    </row>
    <row r="67" ht="58" customHeight="1">
      <c r="A67" s="3" t="n">
        <v>2</v>
      </c>
      <c r="B67" s="3" t="inlineStr">
        <is>
          <t>SkinBetter Science</t>
        </is>
      </c>
      <c r="C67" s="3" t="inlineStr">
        <is>
          <t>Alto Advanced Defense and Repair Serum</t>
        </is>
      </c>
      <c r="D67" s="3" t="inlineStr">
        <is>
          <t>Antioxidant serum</t>
        </is>
      </c>
      <c r="E67" s="3" t="inlineStr">
        <is>
          <t>Other Verified / To Expand</t>
        </is>
      </c>
      <c r="F67" s="3" t="inlineStr">
        <is>
          <t>Antioxidant defense positioning</t>
        </is>
      </c>
      <c r="G67" s="3" t="inlineStr">
        <is>
          <t>Oxidative stress, redness, pigmentation</t>
        </is>
      </c>
      <c r="H67" s="3" t="inlineStr">
        <is>
          <t>Depends on product</t>
        </is>
      </c>
      <c r="I67" s="3" t="inlineStr">
        <is>
          <t>Per label</t>
        </is>
      </c>
      <c r="J67" s="3" t="inlineStr">
        <is>
          <t>Verify contraindications and ingredient list before recommendation</t>
        </is>
      </c>
      <c r="K67" s="3" t="inlineStr">
        <is>
          <t>Use only when category matches skin finding and product is in verified DB</t>
        </is>
      </c>
      <c r="L67" s="3" t="inlineStr">
        <is>
          <t>Varies</t>
        </is>
      </c>
      <c r="M67" s="3" t="inlineStr">
        <is>
          <t>Medium-High</t>
        </is>
      </c>
      <c r="N67" s="3" t="inlineStr">
        <is>
          <t>Needs product-page verification before app launch</t>
        </is>
      </c>
      <c r="O67" s="4" t="inlineStr">
        <is>
          <t>https://www.skinbetter.com</t>
        </is>
      </c>
      <c r="P67" s="3" t="inlineStr">
        <is>
          <t>Added as secondary expansion brand/product; confirm exact ingredient panel before using in production.</t>
        </is>
      </c>
      <c r="Q67" s="32" t="n">
        <v>195</v>
      </c>
      <c r="R67" s="33" t="inlineStr">
        <is>
          <t>https://www.skinbetter.com</t>
        </is>
      </c>
      <c r="S67" s="34" t="inlineStr">
        <is>
          <t>2026-09-04</t>
        </is>
      </c>
      <c r="T67" s="35" t="inlineStr">
        <is>
          <t>No</t>
        </is>
      </c>
      <c r="U67" s="34" t="inlineStr">
        <is>
          <t>Full INCI checked</t>
        </is>
      </c>
      <c r="V67" s="36" t="inlineStr">
        <is>
          <t>Aqua, Butylene Glycol, Propanediol, Ethylhexyl Olivate, Cetearyl Alcohol, Chlorogenic Acids, Niacinamide, Lauryl Lactate, Dimethyl Isosorbide, Pyrroloquinoline Quinone Allyl Ester, Hydrolyzed Sodium Hyaluronate, Glycyrrhiza Glabra Root Extract, Tetrahexyldecyl Ascorbate, Ergothioneine, Taraxacum Officinale Root Extract, Arabidopsis Thaliana Extract, Carnosine, Camellia Sinensis Leaf Extract, Vitis Vinifera Seed Extract, Theobroma Cacao Seed Extract, Curcuma Longa Root Extract, Olea Europaea Fruit Extract, Euterpe Oleracea Fruit Extract, Palmitoyl Tripeptide-1, Buddleja Officinalis Flower Extract, Coffea Arabica Seed Extract, Crocus Sativus Flower Extract, Superoxide Dismutase, Ubiquinone, Plankton Extract, Micrococcus Lysate, Arginine, Zingiber Officinale Root Extract, Ceramide NP, Ceramide AP, Ceramide EOP, Linoleic Acid, Linolenic Acid, Ascorbic Acid, Bisabolol, Tocopherol, Tocopheryl Acetate, Cholesterol, Phytosphingosine, Jojoba Esters, Sodium PCA, Methyl Gluceth-20, Glycerin, Helianthus Annuus Seed Cera, Acacia Decurrens Flower Cera, Lecithin, Sodium Lauroyl Lactylate, Dicetyl Phosphate, Propanediol Dicaprylate/Caprate, Polyglycerin-3, Ceteth-20 Phosphate, Diisostearyl Malate, Xanthan Gum, Steareth-2, Acacia Senegal Gum, Carbomer, Acrylates/C10-30 Alkyl Acrylate Crosspolymer, Maltodextrin, Ricinoleth-40, Sodium Hydroxide, Citric Acid, Sodium Phytate, Ethylhexylglycerin, Phenoxyethanol, Ethylhexyl Palmitate, Alcohol, Lactic Acid, Pentylene Glycol, Sorbitan Isostearate, Tribehenin</t>
        </is>
      </c>
      <c r="W67" s="33" t="inlineStr">
        <is>
          <t>https://www.skinbetter.com</t>
        </is>
      </c>
      <c r="X67" s="34" t="inlineStr">
        <is>
          <t>2026-09-04</t>
        </is>
      </c>
      <c r="Y67" s="13" t="inlineStr">
        <is>
          <t>Not reviewed</t>
        </is>
      </c>
      <c r="Z67" s="11" t="n"/>
      <c r="AA67" s="11" t="n"/>
      <c r="AB67" s="37" t="inlineStr">
        <is>
          <t>Fragrant botanicals/EO: aromatic botanical extracts (turmeric, ginger, saffron, cocoa, coffee, buddleja) but no essential oils declared | EU allergen: Bisabolol present (not on EU-26 list)</t>
        </is>
      </c>
      <c r="AC67" s="14" t="inlineStr">
        <is>
          <t>research_only</t>
        </is>
      </c>
      <c r="AD67" s="38" t="inlineStr">
        <is>
          <t>Needs product-page verification before app launch. | 30 ml $195; 50 ml also sold</t>
        </is>
      </c>
      <c r="AE67" s="14" t="n">
        <v>4</v>
      </c>
    </row>
    <row r="68" ht="58" customHeight="1">
      <c r="A68" s="3" t="n">
        <v>2</v>
      </c>
      <c r="B68" s="3" t="inlineStr">
        <is>
          <t>SkinBetter Science</t>
        </is>
      </c>
      <c r="C68" s="3" t="inlineStr">
        <is>
          <t>AlphaRet Overnight Cream</t>
        </is>
      </c>
      <c r="D68" s="3" t="inlineStr">
        <is>
          <t>Retinoid / exfoliating night treatment</t>
        </is>
      </c>
      <c r="E68" s="3" t="inlineStr">
        <is>
          <t>Other Verified / To Expand</t>
        </is>
      </c>
      <c r="F68" s="3" t="inlineStr">
        <is>
          <t>AlphaRet technology positioning</t>
        </is>
      </c>
      <c r="G68" s="3" t="inlineStr">
        <is>
          <t>Texture, wrinkles, photoaging</t>
        </is>
      </c>
      <c r="H68" s="3" t="inlineStr">
        <is>
          <t>Depends on product</t>
        </is>
      </c>
      <c r="I68" s="3" t="inlineStr">
        <is>
          <t>Per label</t>
        </is>
      </c>
      <c r="J68" s="3" t="inlineStr">
        <is>
          <t>Verify contraindications and ingredient list before recommendation</t>
        </is>
      </c>
      <c r="K68" s="3" t="inlineStr">
        <is>
          <t>Use only when category matches skin finding and product is in verified DB</t>
        </is>
      </c>
      <c r="L68" s="3" t="inlineStr">
        <is>
          <t>Varies</t>
        </is>
      </c>
      <c r="M68" s="3" t="inlineStr">
        <is>
          <t>Medium-High</t>
        </is>
      </c>
      <c r="N68" s="3" t="inlineStr">
        <is>
          <t>Needs product-page verification before app launch</t>
        </is>
      </c>
      <c r="O68" s="4" t="inlineStr">
        <is>
          <t>https://www.skinbetter.com</t>
        </is>
      </c>
      <c r="P68" s="3" t="inlineStr">
        <is>
          <t>Added as secondary expansion brand/product; confirm exact ingredient panel before using in production.</t>
        </is>
      </c>
      <c r="Q68" s="32" t="n">
        <v>145</v>
      </c>
      <c r="R68" s="33" t="inlineStr">
        <is>
          <t>https://www.skinbetter.com</t>
        </is>
      </c>
      <c r="S68" s="34" t="inlineStr">
        <is>
          <t>2026-09-04</t>
        </is>
      </c>
      <c r="T68" s="40" t="inlineStr">
        <is>
          <t>Yes</t>
        </is>
      </c>
      <c r="U68" s="34" t="inlineStr">
        <is>
          <t>Full INCI checked</t>
        </is>
      </c>
      <c r="V68" s="36" t="inlineStr">
        <is>
          <t>Aqua, Sodium Glycolate, Glycolic Acid, Cetearyl Olivate, Pentylene Glycol, Cyclopentasiloxane, Isohexadecane, Sorbitan Olivate, Tetrahexyldecyl Ascorbate, Glycerin, Ceresin, Glycol Palmitate, Butylene Glycol, Niacinamide, Squalane, Methyl Gluceth-20, Ethyl Lactyl Retinoate, Palmitoyl Tripeptide-1, Palmitoyl Tetrapeptide-7, Ceramide NP, Hyaluronic Acid, Ubiquinone, Tocopherol, Bisabolol, Tocopheryl Acetate, Superoxide Dismutase, Butyrospermum Parkii (Shea) Butter, Allantoin, Glycyrrhetinic Acid, Sodium PCA, Panthenol, Camellia Sinensis Leaf Extract, Portulaca Oleracea Extract, Linoleic Acid, Cholesterol, Linolenic Acid, Magnesium Aluminum Silicate, Dimethyl Isosorbide, Dimethicone, Glyceryl Stearate, PEG-100 Stearate, Steareth-2, Hydroxyethylcellulose, Acacia Senegal Gum, Xanthan Gum, Hydrated Silica, Carbomer, Polysorbate 20, Disodium EDTA, Ethylhexylglycerin, Phenoxyethanol, Titanium Dioxide (CI 77891)</t>
        </is>
      </c>
      <c r="W68" s="33" t="inlineStr">
        <is>
          <t>https://www.skinbetter.com</t>
        </is>
      </c>
      <c r="X68" s="34" t="inlineStr">
        <is>
          <t>2026-09-04</t>
        </is>
      </c>
      <c r="Y68" s="17" t="inlineStr">
        <is>
          <t>AVOID (provisional)</t>
        </is>
      </c>
      <c r="Z68" s="11" t="n"/>
      <c r="AA68" s="11" t="n"/>
      <c r="AB68" s="37" t="inlineStr">
        <is>
          <t>EU allergen: Bisabolol present (not on EU-26 list)</t>
        </is>
      </c>
      <c r="AC68" s="14" t="inlineStr">
        <is>
          <t>research_only</t>
        </is>
      </c>
      <c r="AD68" s="38" t="inlineStr">
        <is>
          <t>Needs product-page verification before app launch. | Contains Ethyl Lactyl Retinoate (retinoid) + glycolic acid. 30 ml $145</t>
        </is>
      </c>
      <c r="AE68" s="14" t="n">
        <v>4</v>
      </c>
    </row>
    <row r="69" ht="58" customHeight="1">
      <c r="A69" s="3" t="n">
        <v>2</v>
      </c>
      <c r="B69" s="3" t="inlineStr">
        <is>
          <t>Revision Skincare</t>
        </is>
      </c>
      <c r="C69" s="3" t="inlineStr">
        <is>
          <t>Intellishade TruPhysical SPF 45</t>
        </is>
      </c>
      <c r="D69" s="3" t="inlineStr">
        <is>
          <t>Tinted mineral SPF</t>
        </is>
      </c>
      <c r="E69" s="3" t="inlineStr">
        <is>
          <t>Other Verified / To Expand</t>
        </is>
      </c>
      <c r="F69" s="3" t="inlineStr">
        <is>
          <t>Mineral SPF + anti-aging positioning</t>
        </is>
      </c>
      <c r="G69" s="3" t="inlineStr">
        <is>
          <t>Pigmentation prevention, daily UV defense</t>
        </is>
      </c>
      <c r="H69" s="3" t="inlineStr">
        <is>
          <t>Depends on product</t>
        </is>
      </c>
      <c r="I69" s="3" t="inlineStr">
        <is>
          <t>Per label</t>
        </is>
      </c>
      <c r="J69" s="3" t="inlineStr">
        <is>
          <t>Verify contraindications and ingredient list before recommendation</t>
        </is>
      </c>
      <c r="K69" s="3" t="inlineStr">
        <is>
          <t>Use only when category matches skin finding and product is in verified DB</t>
        </is>
      </c>
      <c r="L69" s="3" t="inlineStr">
        <is>
          <t>Varies</t>
        </is>
      </c>
      <c r="M69" s="3" t="inlineStr">
        <is>
          <t>Medium-High</t>
        </is>
      </c>
      <c r="N69" s="3" t="inlineStr">
        <is>
          <t>Needs product-page verification before app launch</t>
        </is>
      </c>
      <c r="O69" s="4" t="inlineStr">
        <is>
          <t>https://www.revisionskincare.com</t>
        </is>
      </c>
      <c r="P69" s="3" t="inlineStr">
        <is>
          <t>Added as secondary expansion brand/product; confirm exact ingredient panel before using in production.</t>
        </is>
      </c>
      <c r="Q69" s="32" t="n">
        <v>91</v>
      </c>
      <c r="R69" s="33" t="inlineStr">
        <is>
          <t>https://revisionskincare.com</t>
        </is>
      </c>
      <c r="S69" s="34" t="inlineStr">
        <is>
          <t>2026-09-04</t>
        </is>
      </c>
      <c r="T69" s="40" t="inlineStr">
        <is>
          <t>Yes</t>
        </is>
      </c>
      <c r="U69" s="34" t="inlineStr">
        <is>
          <t>Full INCI checked</t>
        </is>
      </c>
      <c r="V69" s="36" t="inlineStr">
        <is>
          <t>ACTIVE: Titanium Dioxide 5.5%, Zinc Oxide 14.5%. INACTIVE: Water, Caprylic/Capric Triglyceride, Thermus Thermophilus Ferment, Polyglyceryl-2 Dipolyhydroxystearate, C12-15 Alkyl Benzoate, Dicaprylyl Carbonate, Cyclopentasiloxane, Dimethicone, Polyglyceryl-3 Diisostearate, Glycerin, Hydrogenated Starch Hydrolysate, Butylene Glycol, Aloe Barbadensis Leaf Juice, Betula Alba Bark Extract, Camellia Sinensis Leaf Extract, Plankton Extract, Beeswax, Acrylates/Dimethicone Copolymer, Squalane, Tocopheryl Acetate, Tetrahexyldecyl Ascorbate, Tocopherol, Palmitoyl Tripeptide-5, Dimethicone/Vinyl Dimethicone Crosspolymer, Lecithin, Palmitoyl Dipeptide-5 Diaminobutyroyl Hydroxythreonine, Leuconostoc/Radish Root Ferment Filtrate, Tetradecyl Aminobutyroylvalylaminobutyric Urea Acetate, Yeast Extract, Boron Nitride, Epigallocatechin Gallate, Ubiquinone, Simmondsia Chinensis Meal Extract, Melanin, Phenoxyethanol, Silica, Chlorphenesin, Polyhydroxystearic Acid, Xanthan Gum, Magnesium Chloride, Benzoic Acid, Sorbic Acid, Triethoxycaprylylsilane, Magnesium Sulfate, Iron Oxides</t>
        </is>
      </c>
      <c r="W69" s="33" t="inlineStr">
        <is>
          <t>https://revisionskincare.com</t>
        </is>
      </c>
      <c r="X69" s="34" t="inlineStr">
        <is>
          <t>2026-09-04</t>
        </is>
      </c>
      <c r="Y69" s="13" t="inlineStr">
        <is>
          <t>Not reviewed</t>
        </is>
      </c>
      <c r="Z69" s="11" t="n"/>
      <c r="AA69" s="11" t="n"/>
      <c r="AB69" s="11" t="n"/>
      <c r="AC69" s="14" t="inlineStr">
        <is>
          <t>blocked</t>
        </is>
      </c>
      <c r="AD69" s="39" t="inlineStr">
        <is>
          <t>BLOCKER (Phase 9F): OTC sunscreen publishing no Drug Facts panel and no active percentages. | PHASE 9F FINDING PARTLY CORRECTED 2026-09-04: active percentages ARE published (TiO2 5.5%, ZnO 14.5%) and a broad-spectrum statement IS present. Still MISSING: Drug Facts panel and Warnings. Page meta-description says SPF 50 while the product name says SPF 45 - internal inconsistency</t>
        </is>
      </c>
      <c r="AE69" s="14" t="inlineStr">
        <is>
          <t>skip</t>
        </is>
      </c>
    </row>
    <row r="70" ht="58" customHeight="1">
      <c r="A70" s="3" t="n">
        <v>2</v>
      </c>
      <c r="B70" s="3" t="inlineStr">
        <is>
          <t>Revision Skincare</t>
        </is>
      </c>
      <c r="C70" s="3" t="inlineStr">
        <is>
          <t>C+ Correcting Complex 30%</t>
        </is>
      </c>
      <c r="D70" s="3" t="inlineStr">
        <is>
          <t>Vitamin C / antioxidant</t>
        </is>
      </c>
      <c r="E70" s="3" t="inlineStr">
        <is>
          <t>Other Verified / To Expand</t>
        </is>
      </c>
      <c r="F70" s="3" t="inlineStr">
        <is>
          <t>Vitamin C complex positioning</t>
        </is>
      </c>
      <c r="G70" s="3" t="inlineStr">
        <is>
          <t>Dullness, oxidative stress, tone</t>
        </is>
      </c>
      <c r="H70" s="3" t="inlineStr">
        <is>
          <t>Depends on product</t>
        </is>
      </c>
      <c r="I70" s="3" t="inlineStr">
        <is>
          <t>Per label</t>
        </is>
      </c>
      <c r="J70" s="3" t="inlineStr">
        <is>
          <t>Verify contraindications and ingredient list before recommendation</t>
        </is>
      </c>
      <c r="K70" s="3" t="inlineStr">
        <is>
          <t>Use only when category matches skin finding and product is in verified DB</t>
        </is>
      </c>
      <c r="L70" s="3" t="inlineStr">
        <is>
          <t>Varies</t>
        </is>
      </c>
      <c r="M70" s="3" t="inlineStr">
        <is>
          <t>Medium-High</t>
        </is>
      </c>
      <c r="N70" s="3" t="inlineStr">
        <is>
          <t>Needs product-page verification before app launch</t>
        </is>
      </c>
      <c r="O70" s="4" t="inlineStr">
        <is>
          <t>https://www.revisionskincare.com</t>
        </is>
      </c>
      <c r="P70" s="3" t="inlineStr">
        <is>
          <t>Added as secondary expansion brand/product; confirm exact ingredient panel before using in production.</t>
        </is>
      </c>
      <c r="Q70" s="32" t="n">
        <v>120</v>
      </c>
      <c r="R70" s="33" t="inlineStr">
        <is>
          <t>https://revisionskincare.com</t>
        </is>
      </c>
      <c r="S70" s="34" t="inlineStr">
        <is>
          <t>2026-09-04</t>
        </is>
      </c>
      <c r="T70" s="40" t="inlineStr">
        <is>
          <t>Yes</t>
        </is>
      </c>
      <c r="U70" s="34" t="inlineStr">
        <is>
          <t>Full INCI checked</t>
        </is>
      </c>
      <c r="V70" s="36" t="inlineStr">
        <is>
          <t>Water, Tetrahexyldecyl Ascorbate, Pentylene Glycol, Dimethyl Isosorbide, Hydrolyzed Eruca Sativa Leaf, Glycerin, Zea Mays Starch, Hydrogenated Lecithin, Cetearyl Glucoside, Palmitoyl Glycine, Dimethicone, Acetyl Zingerone, Plantago Lanceolata Leaf Extract, Diglucosyl Gallic Acid, Squalane, Sodium Carboxymethyl Beta-Glucan, Euterpe Oleracea Fruit Extract, Ergothioneine, Punica Granatum Fruit Extract, Tocopherol, Ubiquinone, Acrylates/C10-30 Alkyl Acrylate Crosspolymer, Tromethamine, Undecane, Tridecane, Tocopheryl Acetate, Leuconostoc/Radish Root Ferment Filtrate, Phenoxyethanol, Disodium EDTA, PPG-12/SMDI Copolymer, Xanthan Gum, Citric Acid, Sodium Benzoate, Potassium Sorbate</t>
        </is>
      </c>
      <c r="W70" s="33" t="inlineStr">
        <is>
          <t>https://revisionskincare.com</t>
        </is>
      </c>
      <c r="X70" s="34" t="inlineStr">
        <is>
          <t>2026-09-04</t>
        </is>
      </c>
      <c r="Y70" s="13" t="inlineStr">
        <is>
          <t>Not reviewed</t>
        </is>
      </c>
      <c r="Z70" s="11" t="n"/>
      <c r="AA70" s="11" t="n"/>
      <c r="AB70" s="11" t="n"/>
      <c r="AC70" s="14" t="inlineStr">
        <is>
          <t>research_only</t>
        </is>
      </c>
      <c r="AD70" s="38" t="inlineStr">
        <is>
          <t>Needs product-page verification before app launch. | Page carries a disclaimer that website ingredient lists may differ from packaging</t>
        </is>
      </c>
      <c r="AE70" s="14" t="n">
        <v>4</v>
      </c>
    </row>
    <row r="71" ht="58" customHeight="1">
      <c r="A71" s="3" t="n">
        <v>2</v>
      </c>
      <c r="B71" s="3" t="inlineStr">
        <is>
          <t>iS Clinical</t>
        </is>
      </c>
      <c r="C71" s="3" t="inlineStr">
        <is>
          <t>Super Serum Advance+</t>
        </is>
      </c>
      <c r="D71" s="3" t="inlineStr">
        <is>
          <t>Vitamin C serum</t>
        </is>
      </c>
      <c r="E71" s="3" t="inlineStr">
        <is>
          <t>Other Verified / To Expand</t>
        </is>
      </c>
      <c r="F71" s="3" t="inlineStr">
        <is>
          <t>Vitamin C + copper tripeptide positioning</t>
        </is>
      </c>
      <c r="G71" s="3" t="inlineStr">
        <is>
          <t>Pigmentation, fine lines, texture</t>
        </is>
      </c>
      <c r="H71" s="3" t="inlineStr">
        <is>
          <t>Depends on product</t>
        </is>
      </c>
      <c r="I71" s="3" t="inlineStr">
        <is>
          <t>Per label</t>
        </is>
      </c>
      <c r="J71" s="3" t="inlineStr">
        <is>
          <t>Verify contraindications and ingredient list before recommendation</t>
        </is>
      </c>
      <c r="K71" s="3" t="inlineStr">
        <is>
          <t>Use only when category matches skin finding and product is in verified DB</t>
        </is>
      </c>
      <c r="L71" s="3" t="inlineStr">
        <is>
          <t>Varies</t>
        </is>
      </c>
      <c r="M71" s="3" t="inlineStr">
        <is>
          <t>Medium-High</t>
        </is>
      </c>
      <c r="N71" s="3" t="inlineStr">
        <is>
          <t>Needs product-page verification before app launch</t>
        </is>
      </c>
      <c r="O71" s="4" t="inlineStr">
        <is>
          <t>https://www.isclinical.com</t>
        </is>
      </c>
      <c r="P71" s="3" t="inlineStr">
        <is>
          <t>Added as secondary expansion brand/product; confirm exact ingredient panel before using in production.</t>
        </is>
      </c>
      <c r="Q71" s="11" t="n"/>
      <c r="R71" s="11" t="n"/>
      <c r="S71" s="11" t="n"/>
      <c r="T71" s="12" t="inlineStr">
        <is>
          <t>Unknown</t>
        </is>
      </c>
      <c r="U71" s="42" t="inlineStr">
        <is>
          <t>Not checked</t>
        </is>
      </c>
      <c r="V71" s="11" t="n"/>
      <c r="W71" s="11" t="n"/>
      <c r="X71" s="11" t="n"/>
      <c r="Y71" s="13" t="inlineStr">
        <is>
          <t>Not reviewed</t>
        </is>
      </c>
      <c r="Z71" s="11" t="n"/>
      <c r="AA71" s="11" t="n"/>
      <c r="AB71" s="11" t="n"/>
      <c r="AC71" s="14" t="inlineStr">
        <is>
          <t>research_only</t>
        </is>
      </c>
      <c r="AD71" s="15" t="inlineStr">
        <is>
          <t>Needs product-page verification before app launch. | SITE UNREACHABLE 2026-09-04: brand site timed out (likely bot protection). Needs a browser-based fetch to capture label data.</t>
        </is>
      </c>
      <c r="AE71" s="14" t="n">
        <v>4</v>
      </c>
    </row>
    <row r="72" ht="58" customHeight="1">
      <c r="A72" s="3" t="n">
        <v>2</v>
      </c>
      <c r="B72" s="3" t="inlineStr">
        <is>
          <t>iS Clinical</t>
        </is>
      </c>
      <c r="C72" s="3" t="inlineStr">
        <is>
          <t>Cleansing Complex</t>
        </is>
      </c>
      <c r="D72" s="3" t="inlineStr">
        <is>
          <t>Cleanser</t>
        </is>
      </c>
      <c r="E72" s="3" t="inlineStr">
        <is>
          <t>Other Verified / To Expand</t>
        </is>
      </c>
      <c r="F72" s="3" t="inlineStr">
        <is>
          <t>Gel cleanser positioning</t>
        </is>
      </c>
      <c r="G72" s="3" t="inlineStr">
        <is>
          <t>All-purpose cleanser, congestion</t>
        </is>
      </c>
      <c r="H72" s="3" t="inlineStr">
        <is>
          <t>Depends on product</t>
        </is>
      </c>
      <c r="I72" s="3" t="inlineStr">
        <is>
          <t>Per label</t>
        </is>
      </c>
      <c r="J72" s="3" t="inlineStr">
        <is>
          <t>Verify contraindications and ingredient list before recommendation</t>
        </is>
      </c>
      <c r="K72" s="3" t="inlineStr">
        <is>
          <t>Use only when category matches skin finding and product is in verified DB</t>
        </is>
      </c>
      <c r="L72" s="3" t="inlineStr">
        <is>
          <t>Varies</t>
        </is>
      </c>
      <c r="M72" s="3" t="inlineStr">
        <is>
          <t>Medium-High</t>
        </is>
      </c>
      <c r="N72" s="3" t="inlineStr">
        <is>
          <t>Needs product-page verification before app launch</t>
        </is>
      </c>
      <c r="O72" s="4" t="inlineStr">
        <is>
          <t>https://www.isclinical.com</t>
        </is>
      </c>
      <c r="P72" s="3" t="inlineStr">
        <is>
          <t>Added as secondary expansion brand/product; confirm exact ingredient panel before using in production.</t>
        </is>
      </c>
      <c r="Q72" s="11" t="n"/>
      <c r="R72" s="11" t="n"/>
      <c r="S72" s="11" t="n"/>
      <c r="T72" s="12" t="inlineStr">
        <is>
          <t>Unknown</t>
        </is>
      </c>
      <c r="U72" s="42" t="inlineStr">
        <is>
          <t>Not checked</t>
        </is>
      </c>
      <c r="V72" s="11" t="n"/>
      <c r="W72" s="11" t="n"/>
      <c r="X72" s="11" t="n"/>
      <c r="Y72" s="13" t="inlineStr">
        <is>
          <t>Not reviewed</t>
        </is>
      </c>
      <c r="Z72" s="11" t="n"/>
      <c r="AA72" s="11" t="n"/>
      <c r="AB72" s="11" t="n"/>
      <c r="AC72" s="14" t="inlineStr">
        <is>
          <t>research_only</t>
        </is>
      </c>
      <c r="AD72" s="15" t="inlineStr">
        <is>
          <t>Needs product-page verification before app launch. | SITE UNREACHABLE 2026-09-04: brand site timed out (likely bot protection). Needs a browser-based fetch to capture label data.</t>
        </is>
      </c>
      <c r="AE72" s="14" t="n">
        <v>4</v>
      </c>
    </row>
    <row r="73" ht="58" customHeight="1">
      <c r="A73" s="3" t="n">
        <v>2</v>
      </c>
      <c r="B73" s="3" t="inlineStr">
        <is>
          <t>Epicutis</t>
        </is>
      </c>
      <c r="C73" s="3" t="inlineStr">
        <is>
          <t>Lipid Serum</t>
        </is>
      </c>
      <c r="D73" s="3" t="inlineStr">
        <is>
          <t>Barrier serum</t>
        </is>
      </c>
      <c r="E73" s="3" t="inlineStr">
        <is>
          <t>Other Verified / To Expand</t>
        </is>
      </c>
      <c r="F73" s="3" t="inlineStr">
        <is>
          <t>TSC positioning</t>
        </is>
      </c>
      <c r="G73" s="3" t="inlineStr">
        <is>
          <t>Redness, barrier, inflammation</t>
        </is>
      </c>
      <c r="H73" s="3" t="inlineStr">
        <is>
          <t>Depends on product</t>
        </is>
      </c>
      <c r="I73" s="3" t="inlineStr">
        <is>
          <t>Per label</t>
        </is>
      </c>
      <c r="J73" s="3" t="inlineStr">
        <is>
          <t>Verify contraindications and ingredient list before recommendation</t>
        </is>
      </c>
      <c r="K73" s="3" t="inlineStr">
        <is>
          <t>Use only when category matches skin finding and product is in verified DB</t>
        </is>
      </c>
      <c r="L73" s="3" t="inlineStr">
        <is>
          <t>Varies</t>
        </is>
      </c>
      <c r="M73" s="3" t="inlineStr">
        <is>
          <t>Medium-High</t>
        </is>
      </c>
      <c r="N73" s="3" t="inlineStr">
        <is>
          <t>Needs product-page verification before app launch</t>
        </is>
      </c>
      <c r="O73" s="4" t="inlineStr">
        <is>
          <t>https://www.epicutis.com</t>
        </is>
      </c>
      <c r="P73" s="3" t="inlineStr">
        <is>
          <t>Added as secondary expansion brand/product; confirm exact ingredient panel before using in production.</t>
        </is>
      </c>
      <c r="Q73" s="11" t="n"/>
      <c r="R73" s="11" t="n"/>
      <c r="S73" s="11" t="n"/>
      <c r="T73" s="12" t="inlineStr">
        <is>
          <t>Unknown</t>
        </is>
      </c>
      <c r="U73" s="42" t="inlineStr">
        <is>
          <t>Not checked</t>
        </is>
      </c>
      <c r="V73" s="11" t="n"/>
      <c r="W73" s="11" t="n"/>
      <c r="X73" s="11" t="n"/>
      <c r="Y73" s="13" t="inlineStr">
        <is>
          <t>Not reviewed</t>
        </is>
      </c>
      <c r="Z73" s="11" t="n"/>
      <c r="AA73" s="11" t="n"/>
      <c r="AB73" s="11" t="n"/>
      <c r="AC73" s="14" t="inlineStr">
        <is>
          <t>research_only</t>
        </is>
      </c>
      <c r="AD73" s="15" t="inlineStr">
        <is>
          <t>Needs product-page verification before app launch. | SITE UNREACHABLE 2026-09-04: brand site timed out (likely bot protection). Needs a browser-based fetch to capture label data.</t>
        </is>
      </c>
      <c r="AE73" s="14" t="n">
        <v>4</v>
      </c>
    </row>
    <row r="74" ht="58" customHeight="1">
      <c r="A74" s="3" t="n">
        <v>2</v>
      </c>
      <c r="B74" s="3" t="inlineStr">
        <is>
          <t>Epicutis</t>
        </is>
      </c>
      <c r="C74" s="3" t="inlineStr">
        <is>
          <t>Hyvia Crème</t>
        </is>
      </c>
      <c r="D74" s="3" t="inlineStr">
        <is>
          <t>Moisturizer</t>
        </is>
      </c>
      <c r="E74" s="3" t="inlineStr">
        <is>
          <t>Other Verified / To Expand</t>
        </is>
      </c>
      <c r="F74" s="3" t="inlineStr">
        <is>
          <t>Hydration cream positioning</t>
        </is>
      </c>
      <c r="G74" s="3" t="inlineStr">
        <is>
          <t>Dryness, barrier support</t>
        </is>
      </c>
      <c r="H74" s="3" t="inlineStr">
        <is>
          <t>Depends on product</t>
        </is>
      </c>
      <c r="I74" s="3" t="inlineStr">
        <is>
          <t>Per label</t>
        </is>
      </c>
      <c r="J74" s="3" t="inlineStr">
        <is>
          <t>Verify contraindications and ingredient list before recommendation</t>
        </is>
      </c>
      <c r="K74" s="3" t="inlineStr">
        <is>
          <t>Use only when category matches skin finding and product is in verified DB</t>
        </is>
      </c>
      <c r="L74" s="3" t="inlineStr">
        <is>
          <t>Varies</t>
        </is>
      </c>
      <c r="M74" s="3" t="inlineStr">
        <is>
          <t>Medium-High</t>
        </is>
      </c>
      <c r="N74" s="3" t="inlineStr">
        <is>
          <t>Needs product-page verification before app launch</t>
        </is>
      </c>
      <c r="O74" s="4" t="inlineStr">
        <is>
          <t>https://www.epicutis.com</t>
        </is>
      </c>
      <c r="P74" s="3" t="inlineStr">
        <is>
          <t>Added as secondary expansion brand/product; confirm exact ingredient panel before using in production.</t>
        </is>
      </c>
      <c r="Q74" s="11" t="n"/>
      <c r="R74" s="11" t="n"/>
      <c r="S74" s="11" t="n"/>
      <c r="T74" s="12" t="inlineStr">
        <is>
          <t>Unknown</t>
        </is>
      </c>
      <c r="U74" s="42" t="inlineStr">
        <is>
          <t>Not checked</t>
        </is>
      </c>
      <c r="V74" s="11" t="n"/>
      <c r="W74" s="11" t="n"/>
      <c r="X74" s="11" t="n"/>
      <c r="Y74" s="13" t="inlineStr">
        <is>
          <t>Not reviewed</t>
        </is>
      </c>
      <c r="Z74" s="11" t="n"/>
      <c r="AA74" s="11" t="n"/>
      <c r="AB74" s="11" t="n"/>
      <c r="AC74" s="14" t="inlineStr">
        <is>
          <t>research_only</t>
        </is>
      </c>
      <c r="AD74" s="15" t="inlineStr">
        <is>
          <t>Needs product-page verification before app launch. | SITE UNREACHABLE 2026-09-04: brand site timed out (likely bot protection). Needs a browser-based fetch to capture label data.</t>
        </is>
      </c>
      <c r="AE74" s="14" t="n">
        <v>4</v>
      </c>
    </row>
    <row r="75" ht="58" customHeight="1">
      <c r="A75" s="3" t="n">
        <v>2</v>
      </c>
      <c r="B75" s="3" t="inlineStr">
        <is>
          <t>Calecim</t>
        </is>
      </c>
      <c r="C75" s="3" t="inlineStr">
        <is>
          <t>Professional Serum</t>
        </is>
      </c>
      <c r="D75" s="3" t="inlineStr">
        <is>
          <t>Stem cell/growth factor serum</t>
        </is>
      </c>
      <c r="E75" s="3" t="inlineStr">
        <is>
          <t>Other Verified / To Expand</t>
        </is>
      </c>
      <c r="F75" s="3" t="inlineStr">
        <is>
          <t>PTT-6 stem cell protein positioning</t>
        </is>
      </c>
      <c r="G75" s="3" t="inlineStr">
        <is>
          <t>Post-procedure, aging, repair</t>
        </is>
      </c>
      <c r="H75" s="3" t="inlineStr">
        <is>
          <t>Depends on product</t>
        </is>
      </c>
      <c r="I75" s="3" t="inlineStr">
        <is>
          <t>Per label</t>
        </is>
      </c>
      <c r="J75" s="3" t="inlineStr">
        <is>
          <t>Verify contraindications and ingredient list before recommendation</t>
        </is>
      </c>
      <c r="K75" s="3" t="inlineStr">
        <is>
          <t>Use only when category matches skin finding and product is in verified DB</t>
        </is>
      </c>
      <c r="L75" s="3" t="inlineStr">
        <is>
          <t>Varies</t>
        </is>
      </c>
      <c r="M75" s="3" t="inlineStr">
        <is>
          <t>Medium-High</t>
        </is>
      </c>
      <c r="N75" s="3" t="inlineStr">
        <is>
          <t>Needs product-page verification before app launch</t>
        </is>
      </c>
      <c r="O75" s="4" t="inlineStr">
        <is>
          <t>https://www.calecimprofessional.com</t>
        </is>
      </c>
      <c r="P75" s="3" t="inlineStr">
        <is>
          <t>Added as secondary expansion brand/product; confirm exact ingredient panel before using in production.</t>
        </is>
      </c>
      <c r="Q75" s="11" t="n"/>
      <c r="R75" s="11" t="n"/>
      <c r="S75" s="11" t="n"/>
      <c r="T75" s="12" t="inlineStr">
        <is>
          <t>Unknown</t>
        </is>
      </c>
      <c r="U75" s="42" t="inlineStr">
        <is>
          <t>Not checked</t>
        </is>
      </c>
      <c r="V75" s="11" t="n"/>
      <c r="W75" s="11" t="n"/>
      <c r="X75" s="11" t="n"/>
      <c r="Y75" s="17" t="inlineStr">
        <is>
          <t>PRACTITIONER ONLY (provisional)</t>
        </is>
      </c>
      <c r="Z75" s="11" t="n"/>
      <c r="AA75" s="11" t="n"/>
      <c r="AB75" s="11" t="n"/>
      <c r="AC75" s="14" t="inlineStr">
        <is>
          <t>research_only</t>
        </is>
      </c>
      <c r="AD75" s="15" t="inlineStr">
        <is>
          <t>Needs product-page verification before app launch. | SITE UNREACHABLE 2026-09-04: brand site timed out (likely bot protection). Needs a browser-based fetch to capture label data.</t>
        </is>
      </c>
      <c r="AE75" s="14" t="n">
        <v>4</v>
      </c>
    </row>
    <row r="76" ht="58" customHeight="1">
      <c r="A76" s="3" t="n">
        <v>2</v>
      </c>
      <c r="B76" s="3" t="inlineStr">
        <is>
          <t>Calecim</t>
        </is>
      </c>
      <c r="C76" s="3" t="inlineStr">
        <is>
          <t>Multi-Action Cream</t>
        </is>
      </c>
      <c r="D76" s="3" t="inlineStr">
        <is>
          <t>Cream</t>
        </is>
      </c>
      <c r="E76" s="3" t="inlineStr">
        <is>
          <t>Other Verified / To Expand</t>
        </is>
      </c>
      <c r="F76" s="3" t="inlineStr">
        <is>
          <t>Stem cell protein positioning</t>
        </is>
      </c>
      <c r="G76" s="3" t="inlineStr">
        <is>
          <t>Barrier, rejuvenation, mature skin</t>
        </is>
      </c>
      <c r="H76" s="3" t="inlineStr">
        <is>
          <t>Depends on product</t>
        </is>
      </c>
      <c r="I76" s="3" t="inlineStr">
        <is>
          <t>Per label</t>
        </is>
      </c>
      <c r="J76" s="3" t="inlineStr">
        <is>
          <t>Verify contraindications and ingredient list before recommendation</t>
        </is>
      </c>
      <c r="K76" s="3" t="inlineStr">
        <is>
          <t>Use only when category matches skin finding and product is in verified DB</t>
        </is>
      </c>
      <c r="L76" s="3" t="inlineStr">
        <is>
          <t>Varies</t>
        </is>
      </c>
      <c r="M76" s="3" t="inlineStr">
        <is>
          <t>Medium-High</t>
        </is>
      </c>
      <c r="N76" s="3" t="inlineStr">
        <is>
          <t>Needs product-page verification before app launch</t>
        </is>
      </c>
      <c r="O76" s="4" t="inlineStr">
        <is>
          <t>https://www.calecimprofessional.com</t>
        </is>
      </c>
      <c r="P76" s="3" t="inlineStr">
        <is>
          <t>Added as secondary expansion brand/product; confirm exact ingredient panel before using in production.</t>
        </is>
      </c>
      <c r="Q76" s="11" t="n"/>
      <c r="R76" s="11" t="n"/>
      <c r="S76" s="11" t="n"/>
      <c r="T76" s="12" t="inlineStr">
        <is>
          <t>Unknown</t>
        </is>
      </c>
      <c r="U76" s="42" t="inlineStr">
        <is>
          <t>Not checked</t>
        </is>
      </c>
      <c r="V76" s="11" t="n"/>
      <c r="W76" s="11" t="n"/>
      <c r="X76" s="11" t="n"/>
      <c r="Y76" s="17" t="inlineStr">
        <is>
          <t>PRACTITIONER ONLY (provisional)</t>
        </is>
      </c>
      <c r="Z76" s="11" t="n"/>
      <c r="AA76" s="11" t="n"/>
      <c r="AB76" s="11" t="n"/>
      <c r="AC76" s="14" t="inlineStr">
        <is>
          <t>research_only</t>
        </is>
      </c>
      <c r="AD76" s="15" t="inlineStr">
        <is>
          <t>Needs product-page verification before app launch. | SITE UNREACHABLE 2026-09-04: brand site timed out (likely bot protection). Needs a browser-based fetch to capture label data.</t>
        </is>
      </c>
      <c r="AE76" s="14" t="n">
        <v>4</v>
      </c>
    </row>
    <row r="77" ht="58" customHeight="1">
      <c r="A77" s="3" t="n">
        <v>2</v>
      </c>
      <c r="B77" s="3" t="inlineStr">
        <is>
          <t>Plated Skin Science</t>
        </is>
      </c>
      <c r="C77" s="3" t="inlineStr">
        <is>
          <t>Intense Serum</t>
        </is>
      </c>
      <c r="D77" s="3" t="inlineStr">
        <is>
          <t>Exosome serum</t>
        </is>
      </c>
      <c r="E77" s="3" t="inlineStr">
        <is>
          <t>Other Verified / To Expand</t>
        </is>
      </c>
      <c r="F77" s="3" t="inlineStr">
        <is>
          <t>Platelet-derived exosome positioning</t>
        </is>
      </c>
      <c r="G77" s="3" t="inlineStr">
        <is>
          <t>Post-treatment, aging, recovery</t>
        </is>
      </c>
      <c r="H77" s="3" t="inlineStr">
        <is>
          <t>Depends on product</t>
        </is>
      </c>
      <c r="I77" s="3" t="inlineStr">
        <is>
          <t>Per label</t>
        </is>
      </c>
      <c r="J77" s="3" t="inlineStr">
        <is>
          <t>Verify contraindications and ingredient list before recommendation</t>
        </is>
      </c>
      <c r="K77" s="3" t="inlineStr">
        <is>
          <t>Use only when category matches skin finding and product is in verified DB</t>
        </is>
      </c>
      <c r="L77" s="3" t="inlineStr">
        <is>
          <t>Varies</t>
        </is>
      </c>
      <c r="M77" s="3" t="inlineStr">
        <is>
          <t>Medium-High</t>
        </is>
      </c>
      <c r="N77" s="3" t="inlineStr">
        <is>
          <t>Needs product-page verification before app launch</t>
        </is>
      </c>
      <c r="O77" s="4" t="inlineStr">
        <is>
          <t>https://www.platedskinscience.com</t>
        </is>
      </c>
      <c r="P77" s="3" t="inlineStr">
        <is>
          <t>Added as secondary expansion brand/product; confirm exact ingredient panel before using in production.</t>
        </is>
      </c>
      <c r="Q77" s="11" t="n"/>
      <c r="R77" s="11" t="n"/>
      <c r="S77" s="11" t="n"/>
      <c r="T77" s="12" t="inlineStr">
        <is>
          <t>Unknown</t>
        </is>
      </c>
      <c r="U77" s="42" t="inlineStr">
        <is>
          <t>Not checked</t>
        </is>
      </c>
      <c r="V77" s="11" t="n"/>
      <c r="W77" s="11" t="n"/>
      <c r="X77" s="11" t="n"/>
      <c r="Y77" s="17" t="inlineStr">
        <is>
          <t>PRACTITIONER ONLY (provisional)</t>
        </is>
      </c>
      <c r="Z77" s="11" t="n"/>
      <c r="AA77" s="11" t="n"/>
      <c r="AB77" s="11" t="n"/>
      <c r="AC77" s="14" t="inlineStr">
        <is>
          <t>research_only</t>
        </is>
      </c>
      <c r="AD77" s="15" t="inlineStr">
        <is>
          <t>Needs product-page verification before app launch. | SITE UNREACHABLE 2026-09-04: brand site timed out (likely bot protection). Needs a browser-based fetch to capture label data.</t>
        </is>
      </c>
      <c r="AE77" s="14" t="n">
        <v>4</v>
      </c>
    </row>
    <row r="78" ht="58" customHeight="1">
      <c r="A78" s="3" t="n">
        <v>2</v>
      </c>
      <c r="B78" s="3" t="inlineStr">
        <is>
          <t>DefenAge</t>
        </is>
      </c>
      <c r="C78" s="3" t="inlineStr">
        <is>
          <t>8-in-1 BioSerum</t>
        </is>
      </c>
      <c r="D78" s="3" t="inlineStr">
        <is>
          <t>Serum</t>
        </is>
      </c>
      <c r="E78" s="3" t="inlineStr">
        <is>
          <t>Other Verified / To Expand</t>
        </is>
      </c>
      <c r="F78" s="3" t="inlineStr">
        <is>
          <t>Defensin positioning</t>
        </is>
      </c>
      <c r="G78" s="3" t="inlineStr">
        <is>
          <t>Texture, aging, renewal</t>
        </is>
      </c>
      <c r="H78" s="3" t="inlineStr">
        <is>
          <t>Depends on product</t>
        </is>
      </c>
      <c r="I78" s="3" t="inlineStr">
        <is>
          <t>Per label</t>
        </is>
      </c>
      <c r="J78" s="3" t="inlineStr">
        <is>
          <t>Verify contraindications and ingredient list before recommendation</t>
        </is>
      </c>
      <c r="K78" s="3" t="inlineStr">
        <is>
          <t>Use only when category matches skin finding and product is in verified DB</t>
        </is>
      </c>
      <c r="L78" s="3" t="inlineStr">
        <is>
          <t>Varies</t>
        </is>
      </c>
      <c r="M78" s="3" t="inlineStr">
        <is>
          <t>Medium-High</t>
        </is>
      </c>
      <c r="N78" s="3" t="inlineStr">
        <is>
          <t>Needs product-page verification before app launch</t>
        </is>
      </c>
      <c r="O78" s="4" t="inlineStr">
        <is>
          <t>https://www.defenage.com</t>
        </is>
      </c>
      <c r="P78" s="3" t="inlineStr">
        <is>
          <t>Added as secondary expansion brand/product; confirm exact ingredient panel before using in production.</t>
        </is>
      </c>
      <c r="Q78" s="11" t="n"/>
      <c r="R78" s="11" t="n"/>
      <c r="S78" s="11" t="n"/>
      <c r="T78" s="12" t="inlineStr">
        <is>
          <t>Unknown</t>
        </is>
      </c>
      <c r="U78" s="42" t="inlineStr">
        <is>
          <t>Not checked</t>
        </is>
      </c>
      <c r="V78" s="11" t="n"/>
      <c r="W78" s="11" t="n"/>
      <c r="X78" s="11" t="n"/>
      <c r="Y78" s="17" t="inlineStr">
        <is>
          <t>PRACTITIONER ONLY (provisional)</t>
        </is>
      </c>
      <c r="Z78" s="11" t="n"/>
      <c r="AA78" s="11" t="n"/>
      <c r="AB78" s="11" t="n"/>
      <c r="AC78" s="14" t="inlineStr">
        <is>
          <t>research_only</t>
        </is>
      </c>
      <c r="AD78" s="15" t="inlineStr">
        <is>
          <t>Needs product-page verification before app launch. | SITE UNREACHABLE 2026-09-04: brand site timed out (likely bot protection). Needs a browser-based fetch to capture label data.</t>
        </is>
      </c>
      <c r="AE78" s="14" t="n">
        <v>4</v>
      </c>
    </row>
    <row r="79" ht="58" customHeight="1">
      <c r="A79" s="3" t="n">
        <v>2</v>
      </c>
      <c r="B79" s="3" t="inlineStr">
        <is>
          <t>HigherDOSE</t>
        </is>
      </c>
      <c r="C79" s="3" t="inlineStr">
        <is>
          <t>Red Light Face Mask</t>
        </is>
      </c>
      <c r="D79" s="3" t="inlineStr">
        <is>
          <t>Device</t>
        </is>
      </c>
      <c r="E79" s="3" t="inlineStr">
        <is>
          <t>Other Verified / To Expand</t>
        </is>
      </c>
      <c r="F79" s="3" t="inlineStr">
        <is>
          <t>Red/NIR light device</t>
        </is>
      </c>
      <c r="G79" s="3" t="inlineStr">
        <is>
          <t>Inflammation, collagen support, recovery</t>
        </is>
      </c>
      <c r="H79" s="3" t="inlineStr">
        <is>
          <t>Depends on product</t>
        </is>
      </c>
      <c r="I79" s="3" t="inlineStr">
        <is>
          <t>Per label</t>
        </is>
      </c>
      <c r="J79" s="3" t="inlineStr">
        <is>
          <t>Verify contraindications and ingredient list before recommendation</t>
        </is>
      </c>
      <c r="K79" s="3" t="inlineStr">
        <is>
          <t>Use only when category matches skin finding and product is in verified DB</t>
        </is>
      </c>
      <c r="L79" s="3" t="inlineStr">
        <is>
          <t>Varies</t>
        </is>
      </c>
      <c r="M79" s="3" t="inlineStr">
        <is>
          <t>Medium-High</t>
        </is>
      </c>
      <c r="N79" s="3" t="inlineStr">
        <is>
          <t>Needs product-page verification before app launch</t>
        </is>
      </c>
      <c r="O79" s="4" t="inlineStr">
        <is>
          <t>https://www.higherdose.com</t>
        </is>
      </c>
      <c r="P79" s="3" t="inlineStr">
        <is>
          <t>Added as secondary expansion brand/product; confirm exact ingredient panel before using in production.</t>
        </is>
      </c>
      <c r="Q79" s="11" t="n"/>
      <c r="R79" s="11" t="n"/>
      <c r="S79" s="11" t="n"/>
      <c r="T79" s="12" t="inlineStr">
        <is>
          <t>Unknown</t>
        </is>
      </c>
      <c r="U79" s="42" t="inlineStr">
        <is>
          <t>Not checked</t>
        </is>
      </c>
      <c r="V79" s="11" t="n"/>
      <c r="W79" s="11" t="n"/>
      <c r="X79" s="11" t="n"/>
      <c r="Y79" s="17" t="inlineStr">
        <is>
          <t>OUT OF SCOPE — device</t>
        </is>
      </c>
      <c r="Z79" s="11" t="n"/>
      <c r="AA79" s="11" t="n"/>
      <c r="AB79" s="11" t="n"/>
      <c r="AC79" s="14" t="inlineStr">
        <is>
          <t>out_of_scope</t>
        </is>
      </c>
      <c r="AD79" s="16" t="inlineStr">
        <is>
          <t>OUT OF SCOPE for the topical catalog: device. Identity-only research; no label facts to capture. | SITE UNREACHABLE 2026-09-04: brand site timed out (likely bot protection). Needs a browser-based fetch to capture label data.</t>
        </is>
      </c>
      <c r="AE79" s="14" t="inlineStr">
        <is>
          <t>skip</t>
        </is>
      </c>
    </row>
    <row r="80" ht="58" customHeight="1">
      <c r="A80" s="3" t="n">
        <v>2</v>
      </c>
      <c r="B80" s="3" t="inlineStr">
        <is>
          <t>ZIIP</t>
        </is>
      </c>
      <c r="C80" s="3" t="inlineStr">
        <is>
          <t>Halo</t>
        </is>
      </c>
      <c r="D80" s="3" t="inlineStr">
        <is>
          <t>Microcurrent device</t>
        </is>
      </c>
      <c r="E80" s="3" t="inlineStr">
        <is>
          <t>Other Verified / To Expand</t>
        </is>
      </c>
      <c r="F80" s="3" t="inlineStr">
        <is>
          <t>Microcurrent / nanocurrent device</t>
        </is>
      </c>
      <c r="G80" s="3" t="inlineStr">
        <is>
          <t>Firmness, lifting, tone</t>
        </is>
      </c>
      <c r="H80" s="3" t="inlineStr">
        <is>
          <t>Depends on product</t>
        </is>
      </c>
      <c r="I80" s="3" t="inlineStr">
        <is>
          <t>Per label</t>
        </is>
      </c>
      <c r="J80" s="3" t="inlineStr">
        <is>
          <t>Verify contraindications and ingredient list before recommendation</t>
        </is>
      </c>
      <c r="K80" s="3" t="inlineStr">
        <is>
          <t>Use only when category matches skin finding and product is in verified DB</t>
        </is>
      </c>
      <c r="L80" s="3" t="inlineStr">
        <is>
          <t>Varies</t>
        </is>
      </c>
      <c r="M80" s="3" t="inlineStr">
        <is>
          <t>Medium-High</t>
        </is>
      </c>
      <c r="N80" s="3" t="inlineStr">
        <is>
          <t>Needs product-page verification before app launch</t>
        </is>
      </c>
      <c r="O80" s="4" t="inlineStr">
        <is>
          <t>https://www.ziipbeauty.com</t>
        </is>
      </c>
      <c r="P80" s="3" t="inlineStr">
        <is>
          <t>Added as secondary expansion brand/product; confirm exact ingredient panel before using in production.</t>
        </is>
      </c>
      <c r="Q80" s="11" t="n"/>
      <c r="R80" s="11" t="n"/>
      <c r="S80" s="11" t="n"/>
      <c r="T80" s="12" t="inlineStr">
        <is>
          <t>Unknown</t>
        </is>
      </c>
      <c r="U80" s="42" t="inlineStr">
        <is>
          <t>Not checked</t>
        </is>
      </c>
      <c r="V80" s="11" t="n"/>
      <c r="W80" s="11" t="n"/>
      <c r="X80" s="11" t="n"/>
      <c r="Y80" s="17" t="inlineStr">
        <is>
          <t>OUT OF SCOPE — device</t>
        </is>
      </c>
      <c r="Z80" s="11" t="n"/>
      <c r="AA80" s="11" t="n"/>
      <c r="AB80" s="11" t="n"/>
      <c r="AC80" s="14" t="inlineStr">
        <is>
          <t>out_of_scope</t>
        </is>
      </c>
      <c r="AD80" s="16" t="inlineStr">
        <is>
          <t>OUT OF SCOPE for the topical catalog: device. Identity-only research; no label facts to capture. | SITE UNREACHABLE 2026-09-04: brand site timed out (likely bot protection). Needs a browser-based fetch to capture label data.</t>
        </is>
      </c>
      <c r="AE80" s="14" t="inlineStr">
        <is>
          <t>skip</t>
        </is>
      </c>
    </row>
    <row r="81" ht="58" customHeight="1">
      <c r="A81" s="3" t="n">
        <v>2</v>
      </c>
      <c r="B81" s="3" t="inlineStr">
        <is>
          <t>Nutrafol</t>
        </is>
      </c>
      <c r="C81" s="3" t="inlineStr">
        <is>
          <t>Women / Men Hair Growth Nutraceutical</t>
        </is>
      </c>
      <c r="D81" s="3" t="inlineStr">
        <is>
          <t>Supplement</t>
        </is>
      </c>
      <c r="E81" s="3" t="inlineStr">
        <is>
          <t>Other Verified / To Expand</t>
        </is>
      </c>
      <c r="F81" s="3" t="inlineStr">
        <is>
          <t>Hair growth nutraceutical positioning</t>
        </is>
      </c>
      <c r="G81" s="3" t="inlineStr">
        <is>
          <t>Hair thinning support</t>
        </is>
      </c>
      <c r="H81" s="3" t="inlineStr">
        <is>
          <t>Depends on product</t>
        </is>
      </c>
      <c r="I81" s="3" t="inlineStr">
        <is>
          <t>Per label</t>
        </is>
      </c>
      <c r="J81" s="3" t="inlineStr">
        <is>
          <t>Verify contraindications and ingredient list before recommendation</t>
        </is>
      </c>
      <c r="K81" s="3" t="inlineStr">
        <is>
          <t>Use only when category matches skin finding and product is in verified DB</t>
        </is>
      </c>
      <c r="L81" s="3" t="inlineStr">
        <is>
          <t>Varies</t>
        </is>
      </c>
      <c r="M81" s="3" t="inlineStr">
        <is>
          <t>Medium-High</t>
        </is>
      </c>
      <c r="N81" s="3" t="inlineStr">
        <is>
          <t>Needs product-page verification before app launch</t>
        </is>
      </c>
      <c r="O81" s="4" t="inlineStr">
        <is>
          <t>https://nutrafol.com</t>
        </is>
      </c>
      <c r="P81" s="3" t="inlineStr">
        <is>
          <t>Added as secondary expansion brand/product; confirm exact ingredient panel before using in production.</t>
        </is>
      </c>
      <c r="Q81" s="11" t="n"/>
      <c r="R81" s="11" t="n"/>
      <c r="S81" s="11" t="n"/>
      <c r="T81" s="12" t="inlineStr">
        <is>
          <t>Unknown</t>
        </is>
      </c>
      <c r="U81" s="42" t="inlineStr">
        <is>
          <t>Not checked</t>
        </is>
      </c>
      <c r="V81" s="11" t="n"/>
      <c r="W81" s="11" t="n"/>
      <c r="X81" s="11" t="n"/>
      <c r="Y81" s="17" t="inlineStr">
        <is>
          <t>OUT OF SCOPE — ingestible</t>
        </is>
      </c>
      <c r="Z81" s="11" t="n"/>
      <c r="AA81" s="11" t="n"/>
      <c r="AB81" s="11" t="n"/>
      <c r="AC81" s="14" t="inlineStr">
        <is>
          <t>blocked</t>
        </is>
      </c>
      <c r="AD81" s="16" t="inlineStr">
        <is>
          <t>ROW MUST BE SPLIT (Phase 9F): one row covering two products with materially different panels — calcium present on one, absent on the other. | SITE UNREACHABLE 2026-09-04: brand site timed out (likely bot protection). Needs a browser-based fetch to capture label data.</t>
        </is>
      </c>
      <c r="AE81" s="14" t="inlineStr">
        <is>
          <t>skip</t>
        </is>
      </c>
    </row>
    <row r="82" ht="58" customHeight="1">
      <c r="A82" s="3" t="n">
        <v>2</v>
      </c>
      <c r="B82" s="3" t="inlineStr">
        <is>
          <t>Nordic Naturals</t>
        </is>
      </c>
      <c r="C82" s="3" t="inlineStr">
        <is>
          <t>ProOmega 2000</t>
        </is>
      </c>
      <c r="D82" s="3" t="inlineStr">
        <is>
          <t>Supplement</t>
        </is>
      </c>
      <c r="E82" s="3" t="inlineStr">
        <is>
          <t>Other Verified / To Expand</t>
        </is>
      </c>
      <c r="F82" s="3" t="inlineStr">
        <is>
          <t>Omega-3 EPA/DHA</t>
        </is>
      </c>
      <c r="G82" s="3" t="inlineStr">
        <is>
          <t>Inflammation, skin barrier, dryness support</t>
        </is>
      </c>
      <c r="H82" s="3" t="inlineStr">
        <is>
          <t>Depends on product</t>
        </is>
      </c>
      <c r="I82" s="3" t="inlineStr">
        <is>
          <t>Per label</t>
        </is>
      </c>
      <c r="J82" s="3" t="inlineStr">
        <is>
          <t>Verify contraindications and ingredient list before recommendation</t>
        </is>
      </c>
      <c r="K82" s="3" t="inlineStr">
        <is>
          <t>Use only when category matches skin finding and product is in verified DB</t>
        </is>
      </c>
      <c r="L82" s="3" t="inlineStr">
        <is>
          <t>Varies</t>
        </is>
      </c>
      <c r="M82" s="3" t="inlineStr">
        <is>
          <t>Medium-High</t>
        </is>
      </c>
      <c r="N82" s="3" t="inlineStr">
        <is>
          <t>Needs product-page verification before app launch</t>
        </is>
      </c>
      <c r="O82" s="4" t="inlineStr">
        <is>
          <t>https://www.nordic.com</t>
        </is>
      </c>
      <c r="P82" s="3" t="inlineStr">
        <is>
          <t>Added as secondary expansion brand/product; confirm exact ingredient panel before using in production.</t>
        </is>
      </c>
      <c r="Q82" s="11" t="n"/>
      <c r="R82" s="11" t="n"/>
      <c r="S82" s="11" t="n"/>
      <c r="T82" s="12" t="inlineStr">
        <is>
          <t>Unknown</t>
        </is>
      </c>
      <c r="U82" s="42" t="inlineStr">
        <is>
          <t>Not checked</t>
        </is>
      </c>
      <c r="V82" s="11" t="n"/>
      <c r="W82" s="11" t="n"/>
      <c r="X82" s="11" t="n"/>
      <c r="Y82" s="17" t="inlineStr">
        <is>
          <t>OUT OF SCOPE — ingestible</t>
        </is>
      </c>
      <c r="Z82" s="11" t="n"/>
      <c r="AA82" s="11" t="n"/>
      <c r="AB82" s="11" t="n"/>
      <c r="AC82" s="14" t="inlineStr">
        <is>
          <t>out_of_scope</t>
        </is>
      </c>
      <c r="AD82" s="16" t="inlineStr">
        <is>
          <t>OUT OF SCOPE: ingestible supplement. vAIne MVP excludes supplements. | SITE UNREACHABLE 2026-09-04: brand site timed out (likely bot protection). Needs a browser-based fetch to capture label data.</t>
        </is>
      </c>
      <c r="AE82" s="14" t="inlineStr">
        <is>
          <t>skip</t>
        </is>
      </c>
    </row>
  </sheetData>
  <autoFilter ref="A1:P82"/>
  <dataValidations count="4">
    <dataValidation sqref="T2:T82" showDropDown="0" showInputMessage="0" showErrorMessage="0" allowBlank="1" type="list">
      <formula1>"Yes,No,Unknown"</formula1>
    </dataValidation>
    <dataValidation sqref="U2:U82" showDropDown="0" showInputMessage="0" showErrorMessage="0" allowBlank="1" type="list">
      <formula1>"Full INCI checked,Label image read,Brand claim only,Not checked"</formula1>
    </dataValidation>
    <dataValidation sqref="Y2:Y82" showDropDown="0" showInputMessage="0" showErrorMessage="0" allowBlank="1" type="list">
      <formula1>"AVOID (provisional),CAUTION (provisional),PRACTITIONER ONLY (provisional),NO KNOWN CONCERN,OUT OF SCOPE — ingestible,OUT OF SCOPE — device,Not reviewed,REVIEWED — avoid,REVIEWED — caution,REVIEWED — no known concern"</formula1>
    </dataValidation>
    <dataValidation sqref="AC2:AC82" showDropDown="0" showInputMessage="0" showErrorMessage="0" allowBlank="1" type="list">
      <formula1>"research_only,identity_reviewed,safety_reviewed,catalog_approved,blocked,out_of_scope"</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55" customWidth="1" min="4" max="4"/>
    <col width="45" customWidth="1" min="5" max="5"/>
    <col width="60" customWidth="1" min="6" max="6"/>
  </cols>
  <sheetData>
    <row r="1" ht="38" customHeight="1">
      <c r="A1" s="5" t="inlineStr">
        <is>
          <t>AI Skin Finding</t>
        </is>
      </c>
      <c r="B1" s="5" t="inlineStr">
        <is>
          <t>Threshold / Trigger</t>
        </is>
      </c>
      <c r="C1" s="5" t="inlineStr">
        <is>
          <t>Primary Category</t>
        </is>
      </c>
      <c r="D1" s="5" t="inlineStr">
        <is>
          <t>Preferred Products From Core Lines</t>
        </is>
      </c>
      <c r="E1" s="5" t="inlineStr">
        <is>
          <t>Avoid / Caution</t>
        </is>
      </c>
      <c r="F1" s="5" t="inlineStr">
        <is>
          <t>Example Recommendation Copy</t>
        </is>
      </c>
    </row>
    <row r="2">
      <c r="A2" s="6" t="inlineStr">
        <is>
          <t>Barrier stress / redness</t>
        </is>
      </c>
      <c r="B2" s="6" t="inlineStr">
        <is>
          <t>Barrier score &lt;75 or visible redness</t>
        </is>
      </c>
      <c r="C2" s="6" t="inlineStr">
        <is>
          <t>Barrier serum + moisturizer</t>
        </is>
      </c>
      <c r="D2" s="6" t="inlineStr">
        <is>
          <t>Young Goose BIO-BARRIER; Alitura The Moisturizer; Vitali Skin Awakening Moisturizer; Epicutis Lipid Serum</t>
        </is>
      </c>
      <c r="E2" s="6" t="inlineStr">
        <is>
          <t>Avoid aggressive exfoliation, retinoids, strong acids until barrier improves</t>
        </is>
      </c>
      <c r="F2" s="6" t="inlineStr">
        <is>
          <t>Your skin appears mildly reactive/barrier-stressed, so prioritize calming barrier repair before aggressive resurfacing.</t>
        </is>
      </c>
    </row>
    <row r="3">
      <c r="A3" s="6" t="inlineStr">
        <is>
          <t>Dehydration</t>
        </is>
      </c>
      <c r="B3" s="6" t="inlineStr">
        <is>
          <t>Hydration score &lt;75 or fine crepey texture</t>
        </is>
      </c>
      <c r="C3" s="6" t="inlineStr">
        <is>
          <t>Essence + moisturizer + HA support</t>
        </is>
      </c>
      <c r="D3" s="6" t="inlineStr">
        <is>
          <t>Young Goose AMPLIFYING ESSENCE; Alitura Night Cream; Vitali Skin Awakening Moisturizer</t>
        </is>
      </c>
      <c r="E3" s="6" t="inlineStr">
        <is>
          <t>Avoid drying cleansers and over-exfoliation</t>
        </is>
      </c>
      <c r="F3" s="6" t="inlineStr">
        <is>
          <t>Hydration support should be layered: gentle cleanse, hydrating essence, barrier moisturizer.</t>
        </is>
      </c>
    </row>
    <row r="4">
      <c r="A4" s="6" t="inlineStr">
        <is>
          <t>Fine lines / collagen support</t>
        </is>
      </c>
      <c r="B4" s="6" t="inlineStr">
        <is>
          <t>Fine lines, elasticity &lt;75</t>
        </is>
      </c>
      <c r="C4" s="6" t="inlineStr">
        <is>
          <t>Copper peptides / growth factors / exosomes</t>
        </is>
      </c>
      <c r="D4" s="6" t="inlineStr">
        <is>
          <t>Vitali 2% or 3% GHK-Cu Serum; Alitura Gold Serum; Young Goose YOUTH RESET; Calecim Professional Serum</t>
        </is>
      </c>
      <c r="E4" s="6" t="inlineStr">
        <is>
          <t>Do not stack too many strong actives at once</t>
        </is>
      </c>
      <c r="F4" s="6" t="inlineStr">
        <is>
          <t>Copper peptides or regenerative serums fit best when collagen support and firmness are priorities.</t>
        </is>
      </c>
    </row>
    <row r="5">
      <c r="A5" s="6" t="inlineStr">
        <is>
          <t>Pigmentation / sun exposure</t>
        </is>
      </c>
      <c r="B5" s="6" t="inlineStr">
        <is>
          <t>Pigment score high or uneven tone</t>
        </is>
      </c>
      <c r="C5" s="6" t="inlineStr">
        <is>
          <t>Vitamin C + SPF + brightening</t>
        </is>
      </c>
      <c r="D5" s="6" t="inlineStr">
        <is>
          <t>Alitura Gold Serum; Alitura Clay Mask; Young Goose BIO-SHIELD SPF 40; SkinBetter Alto Advanced</t>
        </is>
      </c>
      <c r="E5" s="6" t="inlineStr">
        <is>
          <t>Caution acids if skin is inflamed</t>
        </is>
      </c>
      <c r="F5" s="6" t="inlineStr">
        <is>
          <t>Daily SPF plus antioxidant support is non-negotiable for pigment control.</t>
        </is>
      </c>
    </row>
    <row r="6">
      <c r="A6" s="6" t="inlineStr">
        <is>
          <t>Oily T-zone / visible pores</t>
        </is>
      </c>
      <c r="B6" s="6" t="inlineStr">
        <is>
          <t>Oil score high in T-zone</t>
        </is>
      </c>
      <c r="C6" s="6" t="inlineStr">
        <is>
          <t>Gentle cleanser + mask/exfoliant</t>
        </is>
      </c>
      <c r="D6" s="6" t="inlineStr">
        <is>
          <t>Young Goose ADAPTOGENIC CLEANSER; Alitura Clay Mask; Vitali Gentle Exfoliating Cleanser</t>
        </is>
      </c>
      <c r="E6" s="6" t="inlineStr">
        <is>
          <t>Avoid stripping cleansers that worsen rebound oil</t>
        </is>
      </c>
      <c r="F6" s="6" t="inlineStr">
        <is>
          <t>Use gentle cleansing daily and treatment masks/exfoliation only 1–2x weekly.</t>
        </is>
      </c>
    </row>
    <row r="7">
      <c r="A7" s="6" t="inlineStr">
        <is>
          <t>Texture / dullness</t>
        </is>
      </c>
      <c r="B7" s="6" t="inlineStr">
        <is>
          <t>Texture score &lt;75 or dullness present</t>
        </is>
      </c>
      <c r="C7" s="6" t="inlineStr">
        <is>
          <t>Exfoliation + antioxidant</t>
        </is>
      </c>
      <c r="D7" s="6" t="inlineStr">
        <is>
          <t>Alitura Meteorite Facial Scrub; Young Goose NIAPOLISH; Vitali Advanced Resurfacing 10% Lactic Formula</t>
        </is>
      </c>
      <c r="E7" s="6" t="inlineStr">
        <is>
          <t>Avoid if barrier stress/redness is high</t>
        </is>
      </c>
      <c r="F7" s="6" t="inlineStr">
        <is>
          <t>Texture work should only happen after barrier is stable.</t>
        </is>
      </c>
    </row>
    <row r="8">
      <c r="A8" s="6" t="inlineStr">
        <is>
          <t>Under-eye aging / fatigue</t>
        </is>
      </c>
      <c r="B8" s="6" t="inlineStr">
        <is>
          <t>Under-eye fine lines/darkness</t>
        </is>
      </c>
      <c r="C8" s="6" t="inlineStr">
        <is>
          <t>Eye cream</t>
        </is>
      </c>
      <c r="D8" s="6" t="inlineStr">
        <is>
          <t>Young Goose EYEC.A.R.E.; Vitali Advanced Eye &amp; Lash Formula; OneSkin OS-01 EYE</t>
        </is>
      </c>
      <c r="E8" s="6" t="inlineStr">
        <is>
          <t>Avoid acids too close to the eye</t>
        </is>
      </c>
      <c r="F8" s="6" t="inlineStr">
        <is>
          <t>Use targeted eye support rather than face actives too close to the eye.</t>
        </is>
      </c>
    </row>
    <row r="9">
      <c r="A9" s="6" t="inlineStr">
        <is>
          <t>Post-procedure / advanced recovery</t>
        </is>
      </c>
      <c r="B9" s="6" t="inlineStr">
        <is>
          <t>After microneedling/laser or high recovery needs</t>
        </is>
      </c>
      <c r="C9" s="6" t="inlineStr">
        <is>
          <t>Exosomes / growth factors</t>
        </is>
      </c>
      <c r="D9" s="6" t="inlineStr">
        <is>
          <t>Young Goose VAMPIRE EXOSOMES; Vitali Vita Zero Age Exosome Complex; Plated Intense Serum; Calecim Professional Serum</t>
        </is>
      </c>
      <c r="E9" s="6" t="inlineStr">
        <is>
          <t>Use professional guidance; avoid contaminated home microneedling</t>
        </is>
      </c>
      <c r="F9" s="6" t="inlineStr">
        <is>
          <t>For advanced recovery, use professional regenerative products and keep routine minimal.</t>
        </is>
      </c>
    </row>
    <row r="10">
      <c r="A10" s="6" t="inlineStr">
        <is>
          <t>Neck/chest aging</t>
        </is>
      </c>
      <c r="B10" s="6" t="inlineStr">
        <is>
          <t>Visible neck/chest lines, laxity, sun damage</t>
        </is>
      </c>
      <c r="C10" s="6" t="inlineStr">
        <is>
          <t>Neck/chest cream + SPF</t>
        </is>
      </c>
      <c r="D10" s="6" t="inlineStr">
        <is>
          <t>Young Goose YOUTH FIRMING NECK &amp; CHEST; Revision Intellishade SPF; Young Goose BIO-SHIELD</t>
        </is>
      </c>
      <c r="E10" s="6" t="inlineStr">
        <is>
          <t>Daily sunscreen essential</t>
        </is>
      </c>
      <c r="F10" s="6" t="inlineStr">
        <is>
          <t>Treat neck and chest like the face: antioxidant, firming support, and SPF.</t>
        </is>
      </c>
    </row>
    <row r="11">
      <c r="A11" s="6" t="inlineStr">
        <is>
          <t>Body aging / crepey skin</t>
        </is>
      </c>
      <c r="B11" s="6" t="inlineStr">
        <is>
          <t>Body dryness, crepiness</t>
        </is>
      </c>
      <c r="C11" s="6" t="inlineStr">
        <is>
          <t>Body cream / body SPF</t>
        </is>
      </c>
      <c r="D11" s="6" t="inlineStr">
        <is>
          <t>Young Goose YOUTH FIRMING BODY CREAM; Vitali Restorative Body Cream; Alitura Body Lotion</t>
        </is>
      </c>
      <c r="E11" s="6" t="inlineStr">
        <is>
          <t>Avoid actives on broken skin</t>
        </is>
      </c>
      <c r="F11" s="6" t="inlineStr">
        <is>
          <t>Body skin needs consistent moisture plus collagen-supportive ingredients.</t>
        </is>
      </c>
    </row>
  </sheetData>
  <autoFilter ref="A1:F11"/>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5"/>
  <sheetViews>
    <sheetView showGridLines="0" workbookViewId="0">
      <selection activeCell="A1" sqref="A1"/>
    </sheetView>
  </sheetViews>
  <sheetFormatPr baseColWidth="8" defaultRowHeight="15"/>
  <cols>
    <col width="24" customWidth="1" min="1" max="1"/>
    <col width="28" customWidth="1" min="2" max="2"/>
    <col width="55" customWidth="1" min="3" max="3"/>
    <col width="65" customWidth="1" min="4" max="4"/>
    <col width="55" customWidth="1" min="5" max="5"/>
  </cols>
  <sheetData>
    <row r="1" ht="38" customHeight="1">
      <c r="A1" s="7" t="inlineStr">
        <is>
          <t>Brand</t>
        </is>
      </c>
      <c r="B1" s="7" t="inlineStr">
        <is>
          <t>Status in v2</t>
        </is>
      </c>
      <c r="C1" s="7" t="inlineStr">
        <is>
          <t>Products Included</t>
        </is>
      </c>
      <c r="D1" s="7" t="inlineStr">
        <is>
          <t>Source Evidence</t>
        </is>
      </c>
      <c r="E1" s="7" t="inlineStr">
        <is>
          <t>Expansion Needed</t>
        </is>
      </c>
    </row>
    <row r="2">
      <c r="A2" s="6" t="inlineStr">
        <is>
          <t>Young Goose</t>
        </is>
      </c>
      <c r="B2" s="6" t="inlineStr">
        <is>
          <t>Core line expanded first</t>
        </is>
      </c>
      <c r="C2" s="6" t="inlineStr">
        <is>
          <t>Main shop-all skincare products, systems, mists, SPF, eye, neck/chest, exosomes, hydration/aging systems</t>
        </is>
      </c>
      <c r="D2" s="6" t="inlineStr">
        <is>
          <t>Official shop-all page lists 61 products and the rows here capture the core skincare/system products visible from the collection page</t>
        </is>
      </c>
      <c r="E2" s="6" t="inlineStr">
        <is>
          <t>Add exact ingredient panels from each product page before production deployment</t>
        </is>
      </c>
    </row>
    <row r="3">
      <c r="A3" s="6" t="inlineStr">
        <is>
          <t>Vitali</t>
        </is>
      </c>
      <c r="B3" s="6" t="inlineStr">
        <is>
          <t>Core line expanded first</t>
        </is>
      </c>
      <c r="C3" s="6" t="inlineStr">
        <is>
          <t>All visible products from official Products page plus copper peptide collection</t>
        </is>
      </c>
      <c r="D3" s="6" t="inlineStr">
        <is>
          <t>Official product collection page lists 2%/3% GHK-Cu serums, moisturizer, eye/lash, body cream, exosome complex, exfoliant, cleanser, bundles</t>
        </is>
      </c>
      <c r="E3" s="6" t="inlineStr">
        <is>
          <t>Add exact full INCI ingredient panels and contraindication tags</t>
        </is>
      </c>
    </row>
    <row r="4">
      <c r="A4" s="6" t="inlineStr">
        <is>
          <t>Alitura</t>
        </is>
      </c>
      <c r="B4" s="6" t="inlineStr">
        <is>
          <t>Core line expanded first</t>
        </is>
      </c>
      <c r="C4" s="6" t="inlineStr">
        <is>
          <t>Core skincare, Meteorite Facial Scrub, Clay Mask, Gold Serum, Pearl Cleanser, Night Cream, Moisturizer, toner, body, kits, travel packs</t>
        </is>
      </c>
      <c r="D4" s="6" t="inlineStr">
        <is>
          <t>Official shop-all page lists products and hero actives, including Meteorite Facial Scrub and Clay Mask</t>
        </is>
      </c>
      <c r="E4" s="6" t="inlineStr">
        <is>
          <t>Add exact full INCI ingredient panels and acne/sensitivity flags</t>
        </is>
      </c>
    </row>
    <row r="5">
      <c r="A5" s="6" t="inlineStr">
        <is>
          <t>Other brands</t>
        </is>
      </c>
      <c r="B5" s="6" t="inlineStr">
        <is>
          <t>Secondary expansion</t>
        </is>
      </c>
      <c r="C5" s="6" t="inlineStr">
        <is>
          <t>OneSkin, SkinBetter, Revision, iS Clinical, Epicutis, Calecim, Plated, DefenAge, devices, supplements</t>
        </is>
      </c>
      <c r="D5" s="6" t="inlineStr">
        <is>
          <t>High-level product names included only as secondary rows</t>
        </is>
      </c>
      <c r="E5" s="6" t="inlineStr">
        <is>
          <t>Must verify individual product pages before production recommendations</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9"/>
  <sheetViews>
    <sheetView showGridLines="0" workbookViewId="0">
      <selection activeCell="A1" sqref="A1"/>
    </sheetView>
  </sheetViews>
  <sheetFormatPr baseColWidth="8" defaultRowHeight="15"/>
  <cols>
    <col width="28" customWidth="1" min="1" max="1"/>
    <col width="42" customWidth="1" min="2" max="2"/>
    <col width="65" customWidth="1" min="3" max="3"/>
    <col width="50" customWidth="1" min="4" max="4"/>
  </cols>
  <sheetData>
    <row r="1" ht="38" customHeight="1">
      <c r="A1" s="8" t="inlineStr">
        <is>
          <t>Category</t>
        </is>
      </c>
      <c r="B1" s="8" t="inlineStr">
        <is>
          <t>Best Use</t>
        </is>
      </c>
      <c r="C1" s="8" t="inlineStr">
        <is>
          <t>Core Products</t>
        </is>
      </c>
      <c r="D1" s="8" t="inlineStr">
        <is>
          <t>When Not to Use</t>
        </is>
      </c>
    </row>
    <row r="2">
      <c r="A2" s="6" t="inlineStr">
        <is>
          <t>Cleanser</t>
        </is>
      </c>
      <c r="B2" s="6" t="inlineStr">
        <is>
          <t>Daily cleansing without barrier damage</t>
        </is>
      </c>
      <c r="C2" s="6" t="inlineStr">
        <is>
          <t>Young Goose ADAPTOGENIC CLEANSER; Alitura Pearl Cleanser; Vitali Gentle Exfoliating Cleanser</t>
        </is>
      </c>
      <c r="D2" s="6" t="inlineStr">
        <is>
          <t>Avoid harsh or exfoliating cleanser if barrier is very compromised</t>
        </is>
      </c>
    </row>
    <row r="3">
      <c r="A3" s="6" t="inlineStr">
        <is>
          <t>Moisturizer / Barrier</t>
        </is>
      </c>
      <c r="B3" s="6" t="inlineStr">
        <is>
          <t>Hydration, redness, repair</t>
        </is>
      </c>
      <c r="C3" s="6" t="inlineStr">
        <is>
          <t>Young Goose YOUTH DAILY; Alitura Moisturizer; Alitura Night Cream; Vitali Skin Awakening Moisturizer; OneSkin OS-01 FACE</t>
        </is>
      </c>
      <c r="D3" s="6" t="inlineStr">
        <is>
          <t>Avoid heavy creams if acne-prone unless tolerated</t>
        </is>
      </c>
    </row>
    <row r="4">
      <c r="A4" s="6" t="inlineStr">
        <is>
          <t>Copper Peptides</t>
        </is>
      </c>
      <c r="B4" s="6" t="inlineStr">
        <is>
          <t>Collagen, firmness, repair</t>
        </is>
      </c>
      <c r="C4" s="6" t="inlineStr">
        <is>
          <t>Vitali 2%/3% GHK-Cu; Alitura Gold Serum; Vitali Skin Awakening Moisturizer</t>
        </is>
      </c>
      <c r="D4" s="6" t="inlineStr">
        <is>
          <t>Avoid over-layering with strong acids/retinoids if reactive</t>
        </is>
      </c>
    </row>
    <row r="5">
      <c r="A5" s="6" t="inlineStr">
        <is>
          <t>Exosomes / Growth Factors</t>
        </is>
      </c>
      <c r="B5" s="6" t="inlineStr">
        <is>
          <t>Advanced recovery, aging, post-procedure</t>
        </is>
      </c>
      <c r="C5" s="6" t="inlineStr">
        <is>
          <t>Young Goose VAMPIRE EXOSOMES; Vitali Vita Zero Age Exosome Complex; Plated; Calecim</t>
        </is>
      </c>
      <c r="D5" s="6" t="inlineStr">
        <is>
          <t>Use professional guidance around procedures</t>
        </is>
      </c>
    </row>
    <row r="6">
      <c r="A6" s="6" t="inlineStr">
        <is>
          <t>Exfoliation</t>
        </is>
      </c>
      <c r="B6" s="6" t="inlineStr">
        <is>
          <t>Texture, dullness, pores</t>
        </is>
      </c>
      <c r="C6" s="6" t="inlineStr">
        <is>
          <t>Alitura Meteorite Facial Scrub; Young Goose NIAPOLISH; Vitali 10% Lactic Formula</t>
        </is>
      </c>
      <c r="D6" s="6" t="inlineStr">
        <is>
          <t>Avoid if redness, irritation, rosacea flare, or barrier damage</t>
        </is>
      </c>
    </row>
    <row r="7">
      <c r="A7" s="6" t="inlineStr">
        <is>
          <t>SPF</t>
        </is>
      </c>
      <c r="B7" s="6" t="inlineStr">
        <is>
          <t>Pigmentation, UV prevention, longevity</t>
        </is>
      </c>
      <c r="C7" s="6" t="inlineStr">
        <is>
          <t>Young Goose BIO-SHIELD SPF 40; Revision Intellishade SPF</t>
        </is>
      </c>
      <c r="D7" s="6" t="inlineStr">
        <is>
          <t>Do not skip; reapply as needed</t>
        </is>
      </c>
    </row>
    <row r="8">
      <c r="A8" s="6" t="inlineStr">
        <is>
          <t>Eye Care</t>
        </is>
      </c>
      <c r="B8" s="6" t="inlineStr">
        <is>
          <t>Eye lines, fatigue, crepiness</t>
        </is>
      </c>
      <c r="C8" s="6" t="inlineStr">
        <is>
          <t>Young Goose EYEC.A.R.E.; Vitali Advanced Eye &amp; Lash; OneSkin OS-01 EYE</t>
        </is>
      </c>
      <c r="D8" s="6" t="inlineStr">
        <is>
          <t>Avoid strong face actives near eyes</t>
        </is>
      </c>
    </row>
    <row r="9">
      <c r="A9" s="6" t="inlineStr">
        <is>
          <t>Devices</t>
        </is>
      </c>
      <c r="B9" s="6" t="inlineStr">
        <is>
          <t>Firmness, circulation, collagen support</t>
        </is>
      </c>
      <c r="C9" s="6" t="inlineStr">
        <is>
          <t>HigherDOSE Red Light Face Mask; ZIIP Halo</t>
        </is>
      </c>
      <c r="D9" s="6" t="inlineStr">
        <is>
          <t>Avoid device use over active infections, irritation, or contraindicated conditions</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15"/>
  <sheetViews>
    <sheetView showGridLines="0" workbookViewId="0">
      <selection activeCell="A1" sqref="A1"/>
    </sheetView>
  </sheetViews>
  <sheetFormatPr baseColWidth="8" defaultRowHeight="15"/>
  <cols>
    <col width="25" customWidth="1" min="1" max="1"/>
    <col width="55" customWidth="1" min="2" max="2"/>
    <col width="65" customWidth="1" min="3" max="3"/>
  </cols>
  <sheetData>
    <row r="1" ht="38" customHeight="1">
      <c r="A1" s="9" t="inlineStr">
        <is>
          <t>Brand</t>
        </is>
      </c>
      <c r="B1" s="9" t="inlineStr">
        <is>
          <t>Source URL</t>
        </is>
      </c>
      <c r="C1" s="9" t="inlineStr">
        <is>
          <t>What It Supports</t>
        </is>
      </c>
    </row>
    <row r="2">
      <c r="A2" s="6" t="inlineStr">
        <is>
          <t>Young Goose</t>
        </is>
      </c>
      <c r="B2" s="6" t="inlineStr">
        <is>
          <t>https://www.younggoose.com/collections/all</t>
        </is>
      </c>
      <c r="C2" s="6" t="inlineStr">
        <is>
          <t>Official product names, product types, pricing, and shop-all product list</t>
        </is>
      </c>
    </row>
    <row r="3">
      <c r="A3" s="6" t="inlineStr">
        <is>
          <t>Vitali</t>
        </is>
      </c>
      <c r="B3" s="6" t="inlineStr">
        <is>
          <t>https://www.vitaliskincare.com/collections/all</t>
        </is>
      </c>
      <c r="C3" s="6" t="inlineStr">
        <is>
          <t>Official product names and pricing from Products page</t>
        </is>
      </c>
    </row>
    <row r="4">
      <c r="A4" s="6" t="inlineStr">
        <is>
          <t>Vitali</t>
        </is>
      </c>
      <c r="B4" s="6" t="inlineStr">
        <is>
          <t>https://www.vitaliskincare.com/collections/copper-peptide-collection</t>
        </is>
      </c>
      <c r="C4" s="6" t="inlineStr">
        <is>
          <t>Copper peptide collection products and GHK-Cu positioning</t>
        </is>
      </c>
    </row>
    <row r="5">
      <c r="A5" s="6" t="inlineStr">
        <is>
          <t>Alitura</t>
        </is>
      </c>
      <c r="B5" s="6" t="inlineStr">
        <is>
          <t>https://alitura.com/collections/all</t>
        </is>
      </c>
      <c r="C5" s="6" t="inlineStr">
        <is>
          <t>Official product names, hero actives, kits, travel packs</t>
        </is>
      </c>
    </row>
    <row r="6">
      <c r="A6" s="6" t="inlineStr">
        <is>
          <t>OneSkin</t>
        </is>
      </c>
      <c r="B6" s="6" t="inlineStr">
        <is>
          <t>https://www.oneskin.co</t>
        </is>
      </c>
      <c r="C6" s="6" t="inlineStr">
        <is>
          <t>Secondary product expansion</t>
        </is>
      </c>
    </row>
    <row r="7">
      <c r="A7" s="6" t="inlineStr">
        <is>
          <t>SkinBetter Science</t>
        </is>
      </c>
      <c r="B7" s="6" t="inlineStr">
        <is>
          <t>https://www.skinbetter.com</t>
        </is>
      </c>
      <c r="C7" s="6" t="inlineStr">
        <is>
          <t>Secondary product expansion</t>
        </is>
      </c>
    </row>
    <row r="8">
      <c r="A8" s="6" t="inlineStr">
        <is>
          <t>Revision Skincare</t>
        </is>
      </c>
      <c r="B8" s="6" t="inlineStr">
        <is>
          <t>https://www.revisionskincare.com</t>
        </is>
      </c>
      <c r="C8" s="6" t="inlineStr">
        <is>
          <t>Secondary product expansion</t>
        </is>
      </c>
    </row>
    <row r="9">
      <c r="A9" s="6" t="inlineStr">
        <is>
          <t>iS Clinical</t>
        </is>
      </c>
      <c r="B9" s="6" t="inlineStr">
        <is>
          <t>https://www.isclinical.com</t>
        </is>
      </c>
      <c r="C9" s="6" t="inlineStr">
        <is>
          <t>Secondary product expansion</t>
        </is>
      </c>
    </row>
    <row r="10">
      <c r="A10" s="6" t="inlineStr">
        <is>
          <t>Epicutis</t>
        </is>
      </c>
      <c r="B10" s="6" t="inlineStr">
        <is>
          <t>https://www.epicutis.com</t>
        </is>
      </c>
      <c r="C10" s="6" t="inlineStr">
        <is>
          <t>Secondary product expansion</t>
        </is>
      </c>
    </row>
    <row r="11">
      <c r="A11" s="6" t="inlineStr">
        <is>
          <t>Calecim</t>
        </is>
      </c>
      <c r="B11" s="6" t="inlineStr">
        <is>
          <t>https://www.calecimprofessional.com</t>
        </is>
      </c>
      <c r="C11" s="6" t="inlineStr">
        <is>
          <t>Secondary product expansion</t>
        </is>
      </c>
    </row>
    <row r="12">
      <c r="A12" s="6" t="inlineStr">
        <is>
          <t>Plated Skin Science</t>
        </is>
      </c>
      <c r="B12" s="6" t="inlineStr">
        <is>
          <t>https://www.platedskinscience.com</t>
        </is>
      </c>
      <c r="C12" s="6" t="inlineStr">
        <is>
          <t>Secondary product expansion</t>
        </is>
      </c>
    </row>
    <row r="13">
      <c r="A13" s="6" t="inlineStr">
        <is>
          <t>DefenAge</t>
        </is>
      </c>
      <c r="B13" s="6" t="inlineStr">
        <is>
          <t>https://www.defenage.com</t>
        </is>
      </c>
      <c r="C13" s="6" t="inlineStr">
        <is>
          <t>Secondary product expansion</t>
        </is>
      </c>
    </row>
    <row r="14">
      <c r="A14" s="6" t="inlineStr">
        <is>
          <t>HigherDOSE</t>
        </is>
      </c>
      <c r="B14" s="6" t="inlineStr">
        <is>
          <t>https://www.higherdose.com</t>
        </is>
      </c>
      <c r="C14" s="6" t="inlineStr">
        <is>
          <t>Device expansion</t>
        </is>
      </c>
    </row>
    <row r="15">
      <c r="A15" s="6" t="inlineStr">
        <is>
          <t>ZIIP</t>
        </is>
      </c>
      <c r="B15" s="6" t="inlineStr">
        <is>
          <t>https://www.ziipbeauty.com</t>
        </is>
      </c>
      <c r="C15" s="6" t="inlineStr">
        <is>
          <t>Device expansion</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2026-05-17T01:07:55Z</dcterms:created>
  <dcterms:modified xmlns:dcterms="http://purl.org/dc/terms/" xmlns:xsi="http://www.w3.org/2001/XMLSchema-instance" xsi:type="dcterms:W3CDTF">2026-09-05T02:57:38Z</dcterms:modified>
</cp:coreProperties>
</file>